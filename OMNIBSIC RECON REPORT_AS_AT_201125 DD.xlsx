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18.9.80\arbutus\RESULT\NOSTROS\SUMMARY_CHECK\DATA\"/>
    </mc:Choice>
  </mc:AlternateContent>
  <bookViews>
    <workbookView xWindow="0" yWindow="0" windowWidth="20490" windowHeight="7500" firstSheet="47" activeTab="51"/>
  </bookViews>
  <sheets>
    <sheet name="COVER PAGE" sheetId="1" r:id="rId1"/>
    <sheet name="BOG GHS" sheetId="2" r:id="rId2"/>
    <sheet name="BOG USD" sheetId="3" r:id="rId3"/>
    <sheet name="BOG EUR" sheetId="4" r:id="rId4"/>
    <sheet name="BOG GBP" sheetId="5" r:id="rId5"/>
    <sheet name="BOG PAPSS GHS" sheetId="50" r:id="rId6"/>
    <sheet name="BOG KSI GHS" sheetId="6" r:id="rId7"/>
    <sheet name="BOG KSI USD" sheetId="7" r:id="rId8"/>
    <sheet name="BOG KSI EUR" sheetId="8" r:id="rId9"/>
    <sheet name="BOG KSI GBP" sheetId="9" r:id="rId10"/>
    <sheet name="BOG SYI GHS" sheetId="10" r:id="rId11"/>
    <sheet name="BOG SYI USD" sheetId="11" r:id="rId12"/>
    <sheet name="BOG SYI EUR" sheetId="12" r:id="rId13"/>
    <sheet name="BOG SYI GBP" sheetId="13" r:id="rId14"/>
    <sheet name="BOG TDI GHS" sheetId="14" r:id="rId15"/>
    <sheet name="BOG TDI USD" sheetId="15" r:id="rId16"/>
    <sheet name="BOG TDI EUR" sheetId="16" r:id="rId17"/>
    <sheet name="BOG TDI GBP" sheetId="17" r:id="rId18"/>
    <sheet name="BOG TLE GHS" sheetId="18" r:id="rId19"/>
    <sheet name="BOG TLE USD" sheetId="19" r:id="rId20"/>
    <sheet name="BOG TLE EUR" sheetId="20" r:id="rId21"/>
    <sheet name="BOG TLE GBP" sheetId="21" r:id="rId22"/>
    <sheet name="AFRIEXIM EUR" sheetId="22" r:id="rId23"/>
    <sheet name="AFRIEXIM GBP" sheetId="23" r:id="rId24"/>
    <sheet name="AFRIEXIM USD" sheetId="24" r:id="rId25"/>
    <sheet name="AFRIEXIM USD PAPSS" sheetId="25" r:id="rId26"/>
    <sheet name="AKTIF EUR" sheetId="26" r:id="rId27"/>
    <sheet name="AKTIF GBP" sheetId="27" r:id="rId28"/>
    <sheet name="AKTIF USD" sheetId="28" r:id="rId29"/>
    <sheet name="ARAB TURKISH EUR" sheetId="29" r:id="rId30"/>
    <sheet name="ARAB TURKISH USD" sheetId="30" r:id="rId31"/>
    <sheet name="BANK OF BEIRUT EUR" sheetId="31" r:id="rId32"/>
    <sheet name="BANK OF BEIRUT GBP" sheetId="32" r:id="rId33"/>
    <sheet name="BANK OF BEIRUT USD" sheetId="33" r:id="rId34"/>
    <sheet name="COTE DVOIRE XOF" sheetId="34" r:id="rId35"/>
    <sheet name="ECOBANK" sheetId="35" r:id="rId36"/>
    <sheet name="GCB" sheetId="36" r:id="rId37"/>
    <sheet name="GCB 2 &amp; 3" sheetId="37" r:id="rId38"/>
    <sheet name="GHIB EUR" sheetId="38" r:id="rId39"/>
    <sheet name="GHIB GBP" sheetId="39" r:id="rId40"/>
    <sheet name="GHIB USD" sheetId="40" r:id="rId41"/>
    <sheet name="HEAD OFFICE USD" sheetId="41" r:id="rId42"/>
    <sheet name="SENEGAL XOF" sheetId="42" r:id="rId43"/>
    <sheet name="TOGO XOF" sheetId="43" r:id="rId44"/>
    <sheet name="UBA NY EUR" sheetId="44" r:id="rId45"/>
    <sheet name="UBA NY GBP" sheetId="45" r:id="rId46"/>
    <sheet name="UBA NY USD" sheetId="46" r:id="rId47"/>
    <sheet name="ZENITH CEDI" sheetId="47" r:id="rId48"/>
    <sheet name="ZENITH OPS" sheetId="48" r:id="rId49"/>
    <sheet name="ZENITH USD" sheetId="49" r:id="rId50"/>
    <sheet name="SUMMARY CHECK" sheetId="51" r:id="rId51"/>
    <sheet name="BOG DAILY RATES" sheetId="52" r:id="rId52"/>
  </sheets>
  <calcPr calcId="162913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E43" i="49" l="1"/>
  <c r="E41" i="49"/>
  <c r="E38" i="49"/>
  <c r="E32" i="49"/>
  <c r="E26" i="49"/>
  <c r="E20" i="49"/>
  <c r="C8" i="52"/>
  <c r="C5" i="52"/>
  <c r="C6" i="52"/>
  <c r="G81" i="51" s="1"/>
  <c r="C7" i="52"/>
  <c r="G82" i="51" s="1"/>
  <c r="G79" i="51"/>
  <c r="G80" i="51"/>
  <c r="G83" i="51"/>
  <c r="E85" i="51"/>
  <c r="D85" i="51"/>
  <c r="E73" i="51"/>
  <c r="D73" i="51"/>
  <c r="F79" i="51"/>
  <c r="F80" i="51"/>
  <c r="F81" i="51"/>
  <c r="F82" i="51"/>
  <c r="F83" i="51"/>
  <c r="F85" i="51"/>
  <c r="F8" i="51"/>
  <c r="F9" i="51"/>
  <c r="F10" i="51"/>
  <c r="F11" i="51"/>
  <c r="F12" i="51"/>
  <c r="F14" i="51"/>
  <c r="F15" i="51"/>
  <c r="F16" i="51"/>
  <c r="F18" i="51"/>
  <c r="F19" i="51"/>
  <c r="F21" i="51"/>
  <c r="F22" i="51"/>
  <c r="F23" i="51"/>
  <c r="F24" i="51"/>
  <c r="F26" i="51"/>
  <c r="F27" i="51"/>
  <c r="F28" i="51"/>
  <c r="F29" i="51"/>
  <c r="F31" i="51"/>
  <c r="F32" i="51"/>
  <c r="F33" i="51"/>
  <c r="F35" i="51"/>
  <c r="F37" i="51"/>
  <c r="F38" i="51"/>
  <c r="F39" i="51"/>
  <c r="F41" i="51"/>
  <c r="F42" i="51"/>
  <c r="F43" i="51"/>
  <c r="F45" i="51"/>
  <c r="F46" i="51"/>
  <c r="F47" i="51"/>
  <c r="F49" i="51"/>
  <c r="F50" i="51"/>
  <c r="F51" i="51"/>
  <c r="F53" i="51"/>
  <c r="F54" i="51"/>
  <c r="F55" i="51"/>
  <c r="F57" i="51"/>
  <c r="F59" i="51"/>
  <c r="F60" i="51"/>
  <c r="F62" i="51"/>
  <c r="F63" i="51"/>
  <c r="F64" i="51"/>
  <c r="F65" i="51"/>
  <c r="F66" i="51"/>
  <c r="F67" i="51"/>
  <c r="F68" i="51"/>
  <c r="F69" i="51"/>
  <c r="F70" i="51"/>
  <c r="F71" i="51"/>
  <c r="E41" i="48"/>
  <c r="E43" i="48" s="1"/>
  <c r="E38" i="48"/>
  <c r="E32" i="48"/>
  <c r="E26" i="48"/>
  <c r="E20" i="48"/>
  <c r="E41" i="47"/>
  <c r="E43" i="47" s="1"/>
  <c r="E38" i="47"/>
  <c r="E32" i="47"/>
  <c r="E26" i="47"/>
  <c r="E20" i="47"/>
  <c r="E312" i="46"/>
  <c r="E314" i="46" s="1"/>
  <c r="E309" i="46"/>
  <c r="E225" i="46"/>
  <c r="E206" i="46"/>
  <c r="E27" i="46"/>
  <c r="E44" i="45"/>
  <c r="E46" i="45" s="1"/>
  <c r="E41" i="45"/>
  <c r="E33" i="45"/>
  <c r="E26" i="45"/>
  <c r="E20" i="45"/>
  <c r="E64" i="44"/>
  <c r="E62" i="44"/>
  <c r="E59" i="44"/>
  <c r="E45" i="44"/>
  <c r="E39" i="44"/>
  <c r="E20" i="44"/>
  <c r="E91" i="43"/>
  <c r="E93" i="43" s="1"/>
  <c r="E88" i="43"/>
  <c r="E72" i="43"/>
  <c r="E30" i="43"/>
  <c r="E20" i="43"/>
  <c r="E41" i="42"/>
  <c r="E43" i="42" s="1"/>
  <c r="E38" i="42"/>
  <c r="E32" i="42"/>
  <c r="E26" i="42"/>
  <c r="E20" i="42"/>
  <c r="E43" i="41"/>
  <c r="E41" i="41"/>
  <c r="E38" i="41"/>
  <c r="E32" i="41"/>
  <c r="E26" i="41"/>
  <c r="E20" i="41"/>
  <c r="E52" i="40"/>
  <c r="E54" i="40" s="1"/>
  <c r="E49" i="40"/>
  <c r="E35" i="40"/>
  <c r="E28" i="40"/>
  <c r="E20" i="40"/>
  <c r="E55" i="39"/>
  <c r="E57" i="39" s="1"/>
  <c r="E52" i="39"/>
  <c r="E46" i="39"/>
  <c r="E40" i="39"/>
  <c r="E20" i="39"/>
  <c r="E53" i="38"/>
  <c r="E55" i="38" s="1"/>
  <c r="E50" i="38"/>
  <c r="E40" i="38"/>
  <c r="E34" i="38"/>
  <c r="E20" i="38"/>
  <c r="E41" i="37"/>
  <c r="E43" i="37" s="1"/>
  <c r="E38" i="37"/>
  <c r="E32" i="37"/>
  <c r="E26" i="37"/>
  <c r="E20" i="37"/>
  <c r="E43" i="36"/>
  <c r="E45" i="36" s="1"/>
  <c r="E40" i="36"/>
  <c r="E34" i="36"/>
  <c r="E26" i="36"/>
  <c r="E20" i="36"/>
  <c r="E41" i="35"/>
  <c r="E43" i="35" s="1"/>
  <c r="E38" i="35"/>
  <c r="E32" i="35"/>
  <c r="E26" i="35"/>
  <c r="E20" i="35"/>
  <c r="E41" i="34"/>
  <c r="E43" i="34" s="1"/>
  <c r="E38" i="34"/>
  <c r="E32" i="34"/>
  <c r="E26" i="34"/>
  <c r="E20" i="34"/>
  <c r="E43" i="33"/>
  <c r="E41" i="33"/>
  <c r="E38" i="33"/>
  <c r="E32" i="33"/>
  <c r="E26" i="33"/>
  <c r="E20" i="33"/>
  <c r="E41" i="32"/>
  <c r="E43" i="32" s="1"/>
  <c r="E38" i="32"/>
  <c r="E32" i="32"/>
  <c r="E26" i="32"/>
  <c r="E20" i="32"/>
  <c r="E43" i="31"/>
  <c r="E41" i="31"/>
  <c r="E38" i="31"/>
  <c r="E32" i="31"/>
  <c r="E26" i="31"/>
  <c r="E20" i="31"/>
  <c r="E41" i="30"/>
  <c r="E43" i="30" s="1"/>
  <c r="E38" i="30"/>
  <c r="E32" i="30"/>
  <c r="E26" i="30"/>
  <c r="E20" i="30"/>
  <c r="E44" i="29"/>
  <c r="E42" i="29"/>
  <c r="E39" i="29"/>
  <c r="E33" i="29"/>
  <c r="E26" i="29"/>
  <c r="E20" i="29"/>
  <c r="E41" i="28"/>
  <c r="E43" i="28" s="1"/>
  <c r="E38" i="28"/>
  <c r="E32" i="28"/>
  <c r="E26" i="28"/>
  <c r="E20" i="28"/>
  <c r="E41" i="27"/>
  <c r="E43" i="27" s="1"/>
  <c r="E38" i="27"/>
  <c r="E32" i="27"/>
  <c r="E26" i="27"/>
  <c r="E20" i="27"/>
  <c r="E41" i="26"/>
  <c r="E43" i="26" s="1"/>
  <c r="E38" i="26"/>
  <c r="E32" i="26"/>
  <c r="E26" i="26"/>
  <c r="E20" i="26"/>
  <c r="E41" i="25"/>
  <c r="E43" i="25" s="1"/>
  <c r="E38" i="25"/>
  <c r="E32" i="25"/>
  <c r="E26" i="25"/>
  <c r="E20" i="25"/>
  <c r="E47" i="24"/>
  <c r="E49" i="24" s="1"/>
  <c r="E44" i="24"/>
  <c r="E38" i="24"/>
  <c r="E28" i="24"/>
  <c r="E22" i="24"/>
  <c r="E43" i="23"/>
  <c r="E41" i="23"/>
  <c r="E38" i="23"/>
  <c r="E32" i="23"/>
  <c r="E26" i="23"/>
  <c r="E20" i="23"/>
  <c r="E41" i="22"/>
  <c r="E43" i="22" s="1"/>
  <c r="E38" i="22"/>
  <c r="E32" i="22"/>
  <c r="E26" i="22"/>
  <c r="E20" i="22"/>
  <c r="E41" i="21"/>
  <c r="E43" i="21" s="1"/>
  <c r="E38" i="21"/>
  <c r="E32" i="21"/>
  <c r="E26" i="21"/>
  <c r="E20" i="21"/>
  <c r="E43" i="20"/>
  <c r="E41" i="20"/>
  <c r="E38" i="20"/>
  <c r="E32" i="20"/>
  <c r="E26" i="20"/>
  <c r="E20" i="20"/>
  <c r="E43" i="19"/>
  <c r="E41" i="19"/>
  <c r="E38" i="19"/>
  <c r="E32" i="19"/>
  <c r="E26" i="19"/>
  <c r="E20" i="19"/>
  <c r="E41" i="18"/>
  <c r="E43" i="18" s="1"/>
  <c r="E38" i="18"/>
  <c r="E32" i="18"/>
  <c r="E26" i="18"/>
  <c r="E20" i="18"/>
  <c r="E41" i="17"/>
  <c r="E43" i="17" s="1"/>
  <c r="E38" i="17"/>
  <c r="E32" i="17"/>
  <c r="E26" i="17"/>
  <c r="E20" i="17"/>
  <c r="E41" i="16"/>
  <c r="E43" i="16" s="1"/>
  <c r="E38" i="16"/>
  <c r="E32" i="16"/>
  <c r="E26" i="16"/>
  <c r="E20" i="16"/>
  <c r="E41" i="15"/>
  <c r="E43" i="15" s="1"/>
  <c r="E38" i="15"/>
  <c r="E32" i="15"/>
  <c r="E26" i="15"/>
  <c r="E20" i="15"/>
  <c r="E41" i="14"/>
  <c r="E43" i="14" s="1"/>
  <c r="E38" i="14"/>
  <c r="E32" i="14"/>
  <c r="E26" i="14"/>
  <c r="E20" i="14"/>
  <c r="E43" i="13"/>
  <c r="E41" i="13"/>
  <c r="E38" i="13"/>
  <c r="E32" i="13"/>
  <c r="E26" i="13"/>
  <c r="E20" i="13"/>
  <c r="E41" i="12"/>
  <c r="E43" i="12" s="1"/>
  <c r="E38" i="12"/>
  <c r="E32" i="12"/>
  <c r="E26" i="12"/>
  <c r="E20" i="12"/>
  <c r="E41" i="11"/>
  <c r="E43" i="11" s="1"/>
  <c r="E38" i="11"/>
  <c r="E32" i="11"/>
  <c r="E26" i="11"/>
  <c r="E20" i="11"/>
  <c r="E41" i="10"/>
  <c r="E43" i="10" s="1"/>
  <c r="E38" i="10"/>
  <c r="E32" i="10"/>
  <c r="E26" i="10"/>
  <c r="E20" i="10"/>
  <c r="E41" i="9"/>
  <c r="E43" i="9" s="1"/>
  <c r="E38" i="9"/>
  <c r="E32" i="9"/>
  <c r="E26" i="9"/>
  <c r="E20" i="9"/>
  <c r="E41" i="8"/>
  <c r="E43" i="8" s="1"/>
  <c r="E38" i="8"/>
  <c r="E32" i="8"/>
  <c r="E26" i="8"/>
  <c r="E20" i="8"/>
  <c r="E41" i="7"/>
  <c r="E43" i="7" s="1"/>
  <c r="E38" i="7"/>
  <c r="E32" i="7"/>
  <c r="E26" i="7"/>
  <c r="E20" i="7"/>
  <c r="E41" i="6"/>
  <c r="E43" i="6" s="1"/>
  <c r="E38" i="6"/>
  <c r="E32" i="6"/>
  <c r="E26" i="6"/>
  <c r="E20" i="6"/>
  <c r="E41" i="50"/>
  <c r="E43" i="50" s="1"/>
  <c r="E38" i="50"/>
  <c r="E32" i="50"/>
  <c r="E26" i="50"/>
  <c r="E20" i="50"/>
  <c r="E41" i="5"/>
  <c r="E43" i="5" s="1"/>
  <c r="E38" i="5"/>
  <c r="E32" i="5"/>
  <c r="E26" i="5"/>
  <c r="E20" i="5"/>
  <c r="E43" i="4"/>
  <c r="E41" i="4"/>
  <c r="E38" i="4"/>
  <c r="E32" i="4"/>
  <c r="E26" i="4"/>
  <c r="E20" i="4"/>
  <c r="E48" i="3"/>
  <c r="E50" i="3" s="1"/>
  <c r="E45" i="3"/>
  <c r="E38" i="3"/>
  <c r="E30" i="3"/>
  <c r="E24" i="3"/>
  <c r="E80" i="2"/>
  <c r="E78" i="2"/>
  <c r="E75" i="2"/>
  <c r="E57" i="2"/>
  <c r="E48" i="2"/>
  <c r="E28" i="2"/>
  <c r="G85" i="51" l="1"/>
  <c r="F73" i="51"/>
</calcChain>
</file>

<file path=xl/sharedStrings.xml><?xml version="1.0" encoding="utf-8"?>
<sst xmlns="http://schemas.openxmlformats.org/spreadsheetml/2006/main" count="24736" uniqueCount="1189">
  <si>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</si>
  <si>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</si>
  <si>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</si>
  <si>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</si>
  <si>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</si>
  <si>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</si>
  <si>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</si>
  <si>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</si>
  <si>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 xml:space="preserve"> </t>
  </si>
  <si>
    <t>OmniBSIC Bank Ghana Limited</t>
  </si>
  <si>
    <t>BANK AND NOSTRO RECONCILIATION REPORT</t>
  </si>
  <si>
    <t>20-Nov-25</t>
  </si>
  <si>
    <t>Field_9</t>
  </si>
  <si>
    <t>Field_10</t>
  </si>
  <si>
    <t>DEPT</t>
  </si>
  <si>
    <t>OPERATIONS</t>
  </si>
  <si>
    <t>BANK ACCOUNT NUMBER</t>
  </si>
  <si>
    <t>0120730044000/0120730031000</t>
  </si>
  <si>
    <t>BRANCH</t>
  </si>
  <si>
    <t>HEAD OFFICE</t>
  </si>
  <si>
    <t>GENERAL LEDGER NAME</t>
  </si>
  <si>
    <t>BOG GHS</t>
  </si>
  <si>
    <t>REPORTING DATE</t>
  </si>
  <si>
    <t>GENERAL LEDGER NUMBER</t>
  </si>
  <si>
    <t>0010000090013</t>
  </si>
  <si>
    <t>REPORTING UNIT</t>
  </si>
  <si>
    <t>RECONCILIATION</t>
  </si>
  <si>
    <t>20-Nov-2025</t>
  </si>
  <si>
    <t>BALANCE PER BANK STATEMENT</t>
  </si>
  <si>
    <t>CR</t>
  </si>
  <si>
    <t>SN</t>
  </si>
  <si>
    <t xml:space="preserve"> DATE</t>
  </si>
  <si>
    <t xml:space="preserve"> DESCRIPTION</t>
  </si>
  <si>
    <t xml:space="preserve"> AMOUNT</t>
  </si>
  <si>
    <t xml:space="preserve"> GL Ref No.</t>
  </si>
  <si>
    <t xml:space="preserve"> AGING(DAYS)</t>
  </si>
  <si>
    <t xml:space="preserve"> RECON</t>
  </si>
  <si>
    <t>ADD: DEBIT IN OUR BOOKS BUT NOT CREDITED BY BOG</t>
  </si>
  <si>
    <t>17-Nov-2025</t>
  </si>
  <si>
    <t>355 DAY REPO - ACCES BANK( SECONDARY MARKET) MM CONTRACT LIQUIDATION</t>
  </si>
  <si>
    <t>000MTTB243320001</t>
  </si>
  <si>
    <t>INT DR</t>
  </si>
  <si>
    <t>353 DAY GOG BILL PURCHASE - BANK MM CONTRACT LIQUIDATION</t>
  </si>
  <si>
    <t>000MTTB243340001</t>
  </si>
  <si>
    <t>350 DAY GOG BILL - BANK MM CONTRACT LIQUIDATION</t>
  </si>
  <si>
    <t>000MTTB243370001</t>
  </si>
  <si>
    <t>336 SECONDARY MK - ACCESS MM CONTRACT LIQUIDATION</t>
  </si>
  <si>
    <t>000MTTB243510003</t>
  </si>
  <si>
    <t>19-Nov-2025</t>
  </si>
  <si>
    <t>COMMISSION ON TREASURY BILL DD 17.11.2025</t>
  </si>
  <si>
    <t>000TBIL253230001</t>
  </si>
  <si>
    <t>TOTAL:</t>
  </si>
  <si>
    <t>ADD: DEBIT ORIGINATED BY BOG BUT NOT CREDITED IN OUR BOOKS</t>
  </si>
  <si>
    <t>SCCT TROPSAUC171125AS GTBIGHAC OMNIBSIC BANK GHANA /201/119943/1/1/0</t>
  </si>
  <si>
    <t>TROPSAUC171125AS</t>
  </si>
  <si>
    <t>EXT DR</t>
  </si>
  <si>
    <t>18-Nov-2025</t>
  </si>
  <si>
    <t>52 20251118 CSDT 20251118S0035084 ABNGGHAC //OPERATIONCODE //DeliveryVersusPayment</t>
  </si>
  <si>
    <t>20251118S0035084</t>
  </si>
  <si>
    <t>80 20251118 NSI MCI1181125</t>
  </si>
  <si>
    <t>MCI1181125</t>
  </si>
  <si>
    <t>90 20251119 NSI MCI1191125</t>
  </si>
  <si>
    <t>MCI1191125</t>
  </si>
  <si>
    <t>7 20251120 CSDT 20251120S0000254 SSNTGHAC //OPERATIONCODE //ReverseRepoCollateral</t>
  </si>
  <si>
    <t>20251120S0000254</t>
  </si>
  <si>
    <t>19 20251120 CSDT 20251120S0002183 HFCAGHAC //OPERATIONCODE //DeliveryVersusPayment</t>
  </si>
  <si>
    <t>20251120S0002183</t>
  </si>
  <si>
    <t>20 20251120 CSDT 20251120S0002184 HFCAGHAC //OPERATIONCODE //DeliveryVersusPayment</t>
  </si>
  <si>
    <t>20251120S0002184</t>
  </si>
  <si>
    <t>28 20251120 CSDT 20251120S0003292 ECOCGHAC //OPERATIONCODE //DeliveryVersusPayment</t>
  </si>
  <si>
    <t>20251120S0003292</t>
  </si>
  <si>
    <t>45 20251120 NSI 20251120T0016320 ///</t>
  </si>
  <si>
    <t>20251120T0016320</t>
  </si>
  <si>
    <t>81 20251120 NSI 20251120T0022076 ///</t>
  </si>
  <si>
    <t>20251120T0022076</t>
  </si>
  <si>
    <t>82 20251120 NSI GG07181125</t>
  </si>
  <si>
    <t>GG07181125</t>
  </si>
  <si>
    <t>83 20251120 NSI GG08181125</t>
  </si>
  <si>
    <t>GG08181125</t>
  </si>
  <si>
    <t>85 20251120 NSI MCI1201125</t>
  </si>
  <si>
    <t>MCI1201125</t>
  </si>
  <si>
    <t>52 20251120 SCCT OMBTROP2511/190 SCBLGHAC UNDERGROUND MINING</t>
  </si>
  <si>
    <t>OMBTROP2511/190</t>
  </si>
  <si>
    <t>FIT TRSF01201125FAAM FAMCGHAC ISSN 76035 MATURITY SETTLEMENT FAMCCUS-</t>
  </si>
  <si>
    <t>TRSF01201125FAAM</t>
  </si>
  <si>
    <t>LESS: CREDIT ORIGINATED BY BOG BUT NOT DEBITED IN OUR BOOKS</t>
  </si>
  <si>
    <t>37 20251117 NSI 20251117T0009403 /ISIN/GHGGOG076035</t>
  </si>
  <si>
    <t>20251117T0009403</t>
  </si>
  <si>
    <t>EXT CR</t>
  </si>
  <si>
    <t>63 20251120 NSI RGIP181125</t>
  </si>
  <si>
    <t>RGIP181125</t>
  </si>
  <si>
    <t>64 20251120 NSI RGIP201125 /6010194725</t>
  </si>
  <si>
    <t>RGIP201125</t>
  </si>
  <si>
    <t>86 20251120 NSI VISA201125</t>
  </si>
  <si>
    <t>VISA201125</t>
  </si>
  <si>
    <t>LESS: CREDIT IN OUR BOOKS BUT NOT DEBITED BY BOG</t>
  </si>
  <si>
    <t>INT CR</t>
  </si>
  <si>
    <t>SITTING ALLOWANCE FOR THE AUDIT BOARD SUB-COMMITTEE MEETING DD 18/NOV/2025 B/O OMNIBSIC BANK</t>
  </si>
  <si>
    <t>000018x253230001</t>
  </si>
  <si>
    <t>91 DY REPO - SEM CAPITAL MM CONTRACT LIQUIDATION</t>
  </si>
  <si>
    <t>000MM2L252320003</t>
  </si>
  <si>
    <t>TOTAL TREASURY BILL PURCHASE DD 18.11.2025</t>
  </si>
  <si>
    <t>FX PURCHASE - USD/GHS @ 11.10 (UNIV OF GH.)</t>
  </si>
  <si>
    <t>2532301465187000</t>
  </si>
  <si>
    <t>PYMT FOR GARDENING &amp; MAINTENANCE OF PLANTS AT HEADOFFICE AND CLASSIC BANKING LOUNGE FOR THE MONTH OF OCTOBER 2025 IFO THE GREEN LANDSCAPE B/O OMNIBSIC BANK</t>
  </si>
  <si>
    <t>00000yv253240001</t>
  </si>
  <si>
    <t>91 DAY REPO - ALGEBRA MM CONTRACT LIQUIDATION</t>
  </si>
  <si>
    <t>000MM2L252520002</t>
  </si>
  <si>
    <t>56 DAY REPO - BLACKSTAR MM CONTRACT LIQUIDATION</t>
  </si>
  <si>
    <t>000MM2L252680006</t>
  </si>
  <si>
    <t>56 DAY REPO SIC FSL 2 MM CONTRACT LIQUIDATION</t>
  </si>
  <si>
    <t>000MM2L252680503</t>
  </si>
  <si>
    <t>56 DAY REPO - CONSTANT CAPITAL MM CONTRACT LIQUIDATION  DD 250925</t>
  </si>
  <si>
    <t>TS11201125001</t>
  </si>
  <si>
    <t>GRAND TOTAL</t>
  </si>
  <si>
    <t>INTERNAL ACCOUNT BALANCE AS AT Nov 20, 2025</t>
  </si>
  <si>
    <t>DR</t>
  </si>
  <si>
    <t>DIFFERENCE</t>
  </si>
  <si>
    <t>PREPARED BY:</t>
  </si>
  <si>
    <t>kenneth nuamah</t>
  </si>
  <si>
    <t>DATE:</t>
  </si>
  <si>
    <t>REVIEWED BY:</t>
  </si>
  <si>
    <t>1027232397011</t>
  </si>
  <si>
    <t>BOG USD</t>
  </si>
  <si>
    <t>0020000090010</t>
  </si>
  <si>
    <t>12-Nov-2025</t>
  </si>
  <si>
    <t>0000189253160001_FINCON JOURNAL ENTRY</t>
  </si>
  <si>
    <t>FX SALE - USD/GHS @ 11.10 (USD 140,000.00 MASTERCARD)</t>
  </si>
  <si>
    <t>2532401461518000</t>
  </si>
  <si>
    <t>FX SALE - USD/GHS @ 11.10 (USD 20,000.00 MASTERCARD)</t>
  </si>
  <si>
    <t>2532401461593000</t>
  </si>
  <si>
    <t>FX SALE - USD/GHS @ 11.10 (USD 100,000.00 MASTERCARD)</t>
  </si>
  <si>
    <t>2532401461658000</t>
  </si>
  <si>
    <t>03-Nov-2025</t>
  </si>
  <si>
    <t>FNB253070KGFFJHL FIRNGHAC /2021015043307 GHANA SPECIALTY FATS INDUSTRIES LTD /0020039684014 AMARIS TERMINAL LIMITED WAREHOUSE RENTAL</t>
  </si>
  <si>
    <t>1 20251119 SCCT GTBFTDC251130741 GTBIGHAC /1027232397011 BENJAMIN CARGO LOGISTICS</t>
  </si>
  <si>
    <t>GTBFTDC251130741</t>
  </si>
  <si>
    <t>2 20251120 SCCT GH06432425HLE85 BARCGHAC /0020233906018 PAA YOOKU YAWSON</t>
  </si>
  <si>
    <t>GH06432425HLE85</t>
  </si>
  <si>
    <t>13-Oct-2025</t>
  </si>
  <si>
    <t>OMNCHQ20250995 PYT OF CHQ#009463 IFO ETHOS RISK PROTECTION PARTNERS</t>
  </si>
  <si>
    <t>13-Nov-2025</t>
  </si>
  <si>
    <t>OMNCHQ20251031 PYT OF CHQ#000106 IFO KHADIJA ADAM</t>
  </si>
  <si>
    <t>OMNCHQ20251031</t>
  </si>
  <si>
    <t>^1187232397019</t>
  </si>
  <si>
    <t>BOG EUR</t>
  </si>
  <si>
    <t>0030000090018</t>
  </si>
  <si>
    <t>^1037232397017</t>
  </si>
  <si>
    <t>BOG GBP</t>
  </si>
  <si>
    <t>0040000090015</t>
  </si>
  <si>
    <t>2017231344017</t>
  </si>
  <si>
    <t>BANK OF GHANA -KUMASI-GHS</t>
  </si>
  <si>
    <t>0010113040010</t>
  </si>
  <si>
    <t>2027231344015</t>
  </si>
  <si>
    <t>BANK OF GHANA -KUMASI-USD</t>
  </si>
  <si>
    <t>0020113040018</t>
  </si>
  <si>
    <t>2025-10-31</t>
  </si>
  <si>
    <t>2187231344012</t>
  </si>
  <si>
    <t>BANK OF GHANA -KUMASI-EUR</t>
  </si>
  <si>
    <t>0030113040015</t>
  </si>
  <si>
    <t>2037231344018</t>
  </si>
  <si>
    <t>BANK OF GHANA -KUMASI-GBP</t>
  </si>
  <si>
    <t>0040113040012</t>
  </si>
  <si>
    <t>4017131344017</t>
  </si>
  <si>
    <t>BANK OF GHANA -SUNYANI-GHS</t>
  </si>
  <si>
    <t>0010086657018</t>
  </si>
  <si>
    <t>4027231344012</t>
  </si>
  <si>
    <t>BANK OF GHANA -SUNYANI-USD</t>
  </si>
  <si>
    <t>0020086657015</t>
  </si>
  <si>
    <t>BANK OF GHANA -SUNYANI-EUR</t>
  </si>
  <si>
    <t>BANK OF GHANA -SUNYANI-GBP</t>
  </si>
  <si>
    <t>3017231344013</t>
  </si>
  <si>
    <t>BANK OF GHANA -TAKORADI-GHS</t>
  </si>
  <si>
    <t>0010113730019</t>
  </si>
  <si>
    <t>3027231344019</t>
  </si>
  <si>
    <t>BANK OF GHANA -TAKORADI-USD</t>
  </si>
  <si>
    <t>0020113730016</t>
  </si>
  <si>
    <t>2025-11-11</t>
  </si>
  <si>
    <t>3187231344016</t>
  </si>
  <si>
    <t>BANK OF GHANA -TAKORADI- EUR</t>
  </si>
  <si>
    <t>0030113730013</t>
  </si>
  <si>
    <t>3037231344014</t>
  </si>
  <si>
    <t>BANK OF GHANA -TAKORADI- GBP</t>
  </si>
  <si>
    <t>0040113730010</t>
  </si>
  <si>
    <t>5017231344018</t>
  </si>
  <si>
    <t>BANK OF GHANA -TAMALE-GHS</t>
  </si>
  <si>
    <t>0010000092019</t>
  </si>
  <si>
    <t>5027231344016</t>
  </si>
  <si>
    <t>BANK OF GHANA -TAMALE-USD</t>
  </si>
  <si>
    <t>0020000092016</t>
  </si>
  <si>
    <t>14-Nov-2025</t>
  </si>
  <si>
    <t>5187231344013</t>
  </si>
  <si>
    <t>BANK OF GHANA -TAMALE-EUR</t>
  </si>
  <si>
    <t>0030000092013</t>
  </si>
  <si>
    <t>BANK OF GHANA -TAMALE-GBP</t>
  </si>
  <si>
    <t>2025-11-12</t>
  </si>
  <si>
    <t>FIELD_9</t>
  </si>
  <si>
    <t>300058801200001</t>
  </si>
  <si>
    <t>AFRIEXIM EUR</t>
  </si>
  <si>
    <t>0030000097017</t>
  </si>
  <si>
    <t>ADD: DEBIT IN OUR BOOKS BUT NOT CREDITED BY AFRIEXIM</t>
  </si>
  <si>
    <t>ADD: DEBIT ORIGINATED BY AFRIEXIM BUT NOT CREDITED IN OUR BOOKS</t>
  </si>
  <si>
    <t>LESS: CREDIT ORIGINATED BY AFRIEXIM BUT NOT DEBITED IN OUR BOOKS</t>
  </si>
  <si>
    <t>LESS: CREDIT IN OUR BOOKS BUT NOT DEBITED BY AFRIEXIM</t>
  </si>
  <si>
    <t>AFRIEXIM GBP</t>
  </si>
  <si>
    <t>0040000097014</t>
  </si>
  <si>
    <t>AFRIEXIM USD</t>
  </si>
  <si>
    <t>FX PURCHASE - USD/GHS @ 11.0150</t>
  </si>
  <si>
    <t>FX PURCHASE - USD/GHS @ 11.00</t>
  </si>
  <si>
    <t>2532401436634000</t>
  </si>
  <si>
    <t>FX PURCHASE - USD/GHS @ 11.12 - UNERGROUND MINING ALLIANCE</t>
  </si>
  <si>
    <t>000UMAG253240001</t>
  </si>
  <si>
    <t>N MSC BEN:EG5290040001 //ORD:8700206114  SWIFT REF:2025111200385413. PO:000</t>
  </si>
  <si>
    <t>599360 BEN:3000588012 ORD SEG627921/19-11-2025/2</t>
  </si>
  <si>
    <t>599360 BEN:3000588012 ORD SEG628241/19-11-2025/2</t>
  </si>
  <si>
    <t>599360 ORD:. Nm:Fast BEN SEG627829/19-11-2025/2</t>
  </si>
  <si>
    <t>599982 BEN:3000588012 ORD SEG629677/20-11-2025/2</t>
  </si>
  <si>
    <t>ORD</t>
  </si>
  <si>
    <t>EG179004000100300058801803001</t>
  </si>
  <si>
    <t>AFRICAN EXIM BANK USD - PAPSS</t>
  </si>
  <si>
    <t>0020000097020</t>
  </si>
  <si>
    <t>07-Nov-2025</t>
  </si>
  <si>
    <t>N MSC //PAPPS PAPSS USD SETTLEMENT</t>
  </si>
  <si>
    <t>^TR540014300000000007408441</t>
  </si>
  <si>
    <t>AKTIF EUR</t>
  </si>
  <si>
    <t>0020000139018</t>
  </si>
  <si>
    <t>ADD: DEBIT IN OUR BOOKS BUT NOT CREDITED BY AKTIF</t>
  </si>
  <si>
    <t>ADD: DEBIT ORIGINATED BY AKTIF BUT NOT CREDITED IN OUR BOOKS</t>
  </si>
  <si>
    <t>LESS: CREDIT ORIGINATED BY AKTIF BUT NOT DEBITED IN OUR BOOKS</t>
  </si>
  <si>
    <t>LESS: CREDIT IN OUR BOOKS BUT NOT DEBITED BY AKTIF</t>
  </si>
  <si>
    <t>^TR430014300000000007408445</t>
  </si>
  <si>
    <t>AKTIF GBP</t>
  </si>
  <si>
    <t>0040000139012</t>
  </si>
  <si>
    <t>AKTIF USD</t>
  </si>
  <si>
    <t>32000019867</t>
  </si>
  <si>
    <t>ARAB TURKISH BANK - EUR</t>
  </si>
  <si>
    <t>0030000089019</t>
  </si>
  <si>
    <t>ADD: DEBIT IN OUR BOOKS BUT NOT CREDITED BY ARAB TURKISH BANK</t>
  </si>
  <si>
    <t>ADD: DEBIT ORIGINATED BY ARAB TURKISH BANK BUT NOT CREDITED IN OUR BOOKS</t>
  </si>
  <si>
    <t>LESS: CREDIT ORIGINATED BY ARAB TURKISH BANK BUT NOT DEBITED IN OUR BOOKS</t>
  </si>
  <si>
    <t>20251119-248 FT2532300293 FT2532300293</t>
  </si>
  <si>
    <t>20251120-249 FT2532400307 TRANSFER</t>
  </si>
  <si>
    <t>TRANSFER</t>
  </si>
  <si>
    <t>LESS: CREDIT IN OUR BOOKS BUT NOT DEBITED BY ARAB TURKISH BANK</t>
  </si>
  <si>
    <t>32000029245</t>
  </si>
  <si>
    <t>ARAB TURKISH BANK - USD</t>
  </si>
  <si>
    <t>0020000089011</t>
  </si>
  <si>
    <t>^4016093345900</t>
  </si>
  <si>
    <t>BANK OF BEIRUT EUR</t>
  </si>
  <si>
    <t>0030000099012</t>
  </si>
  <si>
    <t>ADD: DEBIT IN OUR BOOKS BUT NOT CREDITED BY BEIRUT</t>
  </si>
  <si>
    <t>ADD: DEBIT ORIGINATED BY BEIRUT BUT NOT CREDITED IN OUR BOOKS</t>
  </si>
  <si>
    <t>LESS: CREDIT ORIGINATED BY BEIRUT BUT NOT DEBITED IN OUR BOOKS</t>
  </si>
  <si>
    <t>LESS: CREDIT IN OUR BOOKS BUT NOT DEBITED BY BEIRUT</t>
  </si>
  <si>
    <t>^0116093345900</t>
  </si>
  <si>
    <t>BANK OF BEIRUT GBP</t>
  </si>
  <si>
    <t>0040000099018</t>
  </si>
  <si>
    <t>^1116093345900</t>
  </si>
  <si>
    <t>BANK OF BEIRUT USD</t>
  </si>
  <si>
    <t>0020000099015</t>
  </si>
  <si>
    <t>99951400001</t>
  </si>
  <si>
    <t>BSIC COTE D'IVOIRE - XOF</t>
  </si>
  <si>
    <t>0050154485011</t>
  </si>
  <si>
    <t>ADD: DEBIT IN OUR BOOKS BUT NOT CREDITED BY COTE D'IVOIRE</t>
  </si>
  <si>
    <t>ADD: DEBIT ORIGINATED BY COTE D'IVOIRE BUT NOT CREDITED IN OUR BOOKS</t>
  </si>
  <si>
    <t>LESS: CREDIT ORIGINATED BY COTE D'IVOIRE BUT NOT DEBITED IN OUR BOOKS</t>
  </si>
  <si>
    <t>LESS: CREDIT IN OUR BOOKS BUT NOT DEBITED BY COTE D'IVOIRE</t>
  </si>
  <si>
    <t>1441001256551</t>
  </si>
  <si>
    <t>ECOBANK</t>
  </si>
  <si>
    <t>0010000094014</t>
  </si>
  <si>
    <t>ADD: DEBIT IN OUR BOOKS BUT NOT CREDITED BY ECOBANK</t>
  </si>
  <si>
    <t>ADD: DEBIT ORIGINATED BY ECOBANK BUT NOT CREDITED IN OUR BOOKS</t>
  </si>
  <si>
    <t>LESS: CREDIT ORIGINATED BY ECOBANK BUT NOT DEBITED IN OUR BOOKS</t>
  </si>
  <si>
    <t>LESS: CREDIT IN OUR BOOKS BUT NOT DEBITED BY ECOBANK</t>
  </si>
  <si>
    <t>^1331130004604</t>
  </si>
  <si>
    <t>GCB</t>
  </si>
  <si>
    <t>0010000095017</t>
  </si>
  <si>
    <t>ADD: DEBIT IN OUR BOOKS BUT NOT CREDITED BY GCB</t>
  </si>
  <si>
    <t>ADD: DEBIT ORIGINATED BY GCB BUT NOT CREDITED IN OUR BOOKS</t>
  </si>
  <si>
    <t>LESS: CREDIT ORIGINATED BY GCB BUT NOT DEBITED IN OUR BOOKS</t>
  </si>
  <si>
    <t>16-Sep-2025</t>
  </si>
  <si>
    <t>ZENITH BANK GH CHQ - UIC JESUS KIDS DAY CARE CENTRE~002363 - DEP NTRE~002363 - DEP. AT CAPECOAST AT CAPECOAST</t>
  </si>
  <si>
    <t>02-Oct-2025</t>
  </si>
  <si>
    <t>ZENITH BANK GH CHQ - MIKONVILL INFANTS SCHOOL~000922 - DEP. AT C 00922 - DEP. AT CAPECOAST PECOAST</t>
  </si>
  <si>
    <t>AGRICULTURAL DEVELOPMENT  CHQ - CALVARY HILLCREST SCHOOLS BOOKS ACCOUNT~000096 - DEP. AT CAPECOAST</t>
  </si>
  <si>
    <t>LESS: CREDIT IN OUR BOOKS BUT NOT DEBITED BY GCB</t>
  </si>
  <si>
    <t>'1151130006048</t>
  </si>
  <si>
    <t>GCB BANK LTD 3</t>
  </si>
  <si>
    <t>^51162603</t>
  </si>
  <si>
    <t>GHIB  - EUR</t>
  </si>
  <si>
    <t>0030000032011</t>
  </si>
  <si>
    <t>ADD: DEBIT IN OUR BOOKS BUT NOT CREDITED BY GHIB</t>
  </si>
  <si>
    <t>FX PURCHASE EUR, XOF @ 669.07614038462  000FXSP253240501</t>
  </si>
  <si>
    <t>000FXSP253240501</t>
  </si>
  <si>
    <t>ADD: DEBIT ORIGINATED BY GHIB BUT NOT CREDITED IN OUR BOOKS</t>
  </si>
  <si>
    <t>N TRF OMNOPA20251053 //FT2531600471  Outward Telex Payment</t>
  </si>
  <si>
    <t>OMNOPA20251053</t>
  </si>
  <si>
    <t>20251113-204 FT2531756740 OMNTR20251789</t>
  </si>
  <si>
    <t>OMNTR20251789</t>
  </si>
  <si>
    <t>20251114-205 FT2531896640 OMNAP20254337</t>
  </si>
  <si>
    <t>OMNAP20254337</t>
  </si>
  <si>
    <t>20251117-206 FT2532141252 OMNAP20254128R</t>
  </si>
  <si>
    <t>OMNAP20254128R</t>
  </si>
  <si>
    <t>20251119-208 FT2532306347 OMNTR20251831</t>
  </si>
  <si>
    <t>OMNTR20251831</t>
  </si>
  <si>
    <t>20251120-209 FT2532404194 OMNAP20254437</t>
  </si>
  <si>
    <t>OMNAP20254437</t>
  </si>
  <si>
    <t>20251120-209 FT2532493040 OMNAP20254431</t>
  </si>
  <si>
    <t>OMNAP20254431</t>
  </si>
  <si>
    <t>LESS: CREDIT ORIGINATED BY GHIB BUT NOT DEBITED IN OUR BOOKS</t>
  </si>
  <si>
    <t>05-Nov-2025</t>
  </si>
  <si>
    <t>N TRF NONREF //FT2530979005 Outward Telex Payment</t>
  </si>
  <si>
    <t>LESS: CREDIT IN OUR BOOKS BUT NOT DEBITED BY GHIB</t>
  </si>
  <si>
    <t>OMNTR20251870 TRF IFO EKOAGROS</t>
  </si>
  <si>
    <t>OMNTR20251870</t>
  </si>
  <si>
    <t>OMNTR20251873 TRF IFO STEPHANIE PEARL ADAMS</t>
  </si>
  <si>
    <t>OMNTR20251873</t>
  </si>
  <si>
    <t>OMNTR20251866 TRF IFO T MARK CONSEILS</t>
  </si>
  <si>
    <t>OMNTR20251866</t>
  </si>
  <si>
    <t>OMNAP20254482 TRF IFO KIKA LT UAB</t>
  </si>
  <si>
    <t>OMNAP20254482</t>
  </si>
  <si>
    <t>OMNOPA20251081 TRF IFO T.C.M DI TORTORA GAETANO &amp; C.S.R.L</t>
  </si>
  <si>
    <t>OMNOPA20251081</t>
  </si>
  <si>
    <t>^51162601</t>
  </si>
  <si>
    <t>GHIB  - GBP</t>
  </si>
  <si>
    <t>0040000032019</t>
  </si>
  <si>
    <t>20251114-205 FT2531816475 OMNTR20251801</t>
  </si>
  <si>
    <t>OMNTR20251801</t>
  </si>
  <si>
    <t>20251114-205 FT2531831366 OMNTR20251803</t>
  </si>
  <si>
    <t>OMNTR20251803</t>
  </si>
  <si>
    <t>20251114-205 FT2531830281 OMNTR20251804</t>
  </si>
  <si>
    <t>OMNTR20251804</t>
  </si>
  <si>
    <t>20251117-206 FT2532120258 OMNAP20254328</t>
  </si>
  <si>
    <t>OMNAP20254328</t>
  </si>
  <si>
    <t>20251117-206 FT2532156605 OMNAP20254388</t>
  </si>
  <si>
    <t>OMNAP20254388</t>
  </si>
  <si>
    <t>20251117-206 FT2532115999 OMNTR20251797</t>
  </si>
  <si>
    <t>OMNTR20251797</t>
  </si>
  <si>
    <t>20251117-206 FT2531835790 OMNTR20251805</t>
  </si>
  <si>
    <t>OMNTR20251805</t>
  </si>
  <si>
    <t>20251117-206 FT2532166186 OMNTR20251808</t>
  </si>
  <si>
    <t>OMNTR20251808</t>
  </si>
  <si>
    <t>20251118-207 FT2532230527 OMNTR20251822</t>
  </si>
  <si>
    <t>OMNTR20251822</t>
  </si>
  <si>
    <t>20251118-207 FT2532272915 OMNTR20251829</t>
  </si>
  <si>
    <t>OMNTR20251829</t>
  </si>
  <si>
    <t>20251119-208 FT2532368518 OMNAP20254434</t>
  </si>
  <si>
    <t>OMNAP20254434</t>
  </si>
  <si>
    <t>20251119-208 FT2532360740 OMNTR20251836</t>
  </si>
  <si>
    <t>OMNTR20251836</t>
  </si>
  <si>
    <t>OMNTR20251867 TRF IFO OFFSETK SERVICES LLP</t>
  </si>
  <si>
    <t>OMNTR20251867</t>
  </si>
  <si>
    <t>^51162602</t>
  </si>
  <si>
    <t>GHIB  - USD</t>
  </si>
  <si>
    <t>0020000032014</t>
  </si>
  <si>
    <t>TRSF03201125GHIB TEXT</t>
  </si>
  <si>
    <t>TRSF03201125GHIB</t>
  </si>
  <si>
    <t>F CHG OMNTR20251778 //FT2531647756  Outward Telex-Swift Charges</t>
  </si>
  <si>
    <t>OMNTR20251778</t>
  </si>
  <si>
    <t>20251114-205 FT2531814180 ALC25/0646XMAE00</t>
  </si>
  <si>
    <t>20251117-206 FT2532106239 OMNAP20254109</t>
  </si>
  <si>
    <t>OMNAP20254109</t>
  </si>
  <si>
    <t>20251119-208 FT2532330755 NONREF</t>
  </si>
  <si>
    <t>20251120-209 FT2532400300 NONREF</t>
  </si>
  <si>
    <t>NONREF</t>
  </si>
  <si>
    <t>11-Nov-2025</t>
  </si>
  <si>
    <t>2531501345912000;TRF IFO ROBERT ACKWONU</t>
  </si>
  <si>
    <t>2531601357102000_TRANSFER</t>
  </si>
  <si>
    <t>OMNAP20254388 ; TRF IFO SAVILE ROW ONLINE LTD</t>
  </si>
  <si>
    <t>OMNTR20251797 ; TRF IFO GRACE ASARE</t>
  </si>
  <si>
    <t>OMNAP20254130 TRF IFO CHANGJU CO LIMITED</t>
  </si>
  <si>
    <t>OMNAP20254130</t>
  </si>
  <si>
    <t>TRSF04201125UBA TEXT</t>
  </si>
  <si>
    <t>TRSF04201125UBA</t>
  </si>
  <si>
    <t>999514-000</t>
  </si>
  <si>
    <t>BSIC HEAD OFFICE - USD</t>
  </si>
  <si>
    <t>0020121317019</t>
  </si>
  <si>
    <t>ADD: DEBIT IN OUR BOOKS BUT NOT CREDITED BY BSIC HEAD OFFICE</t>
  </si>
  <si>
    <t>ADD: DEBIT ORIGINATED BY BSIC HEAD OFFICE BUT NOT CREDITED IN OUR BOOKS</t>
  </si>
  <si>
    <t>29-Sep-2020</t>
  </si>
  <si>
    <t>SETTL.INT (SHO/MED LOANS) - BSIC AF 29-09-2020</t>
  </si>
  <si>
    <t>LESS: CREDIT ORIGINATED BY BSIC HEAD OFFICE BUT NOT DEBITED IN OUR BOOKS</t>
  </si>
  <si>
    <t>LESS: CREDIT IN OUR BOOKS BUT NOT DEBITED BY BSIC HEAD OFFICE</t>
  </si>
  <si>
    <t>99951500001</t>
  </si>
  <si>
    <t>BSIC SENEGAL- XOF</t>
  </si>
  <si>
    <t>0050121363018</t>
  </si>
  <si>
    <t>ADD: DEBIT IN OUR BOOKS BUT NOT CREDITED BY SENEGAL</t>
  </si>
  <si>
    <t>ADD: DEBIT ORIGINATED BY SENEGAL BUT NOT CREDITED IN OUR BOOKS</t>
  </si>
  <si>
    <t>LESS: CREDIT ORIGINATED BY SENEGAL BUT NOT DEBITED IN OUR BOOKS</t>
  </si>
  <si>
    <t>LESS: CREDIT IN OUR BOOKS BUT NOT DEBITED BY SENEGAL</t>
  </si>
  <si>
    <t>01500063921-24</t>
  </si>
  <si>
    <t>BSIC TOGO - XOF</t>
  </si>
  <si>
    <t>0050000091015</t>
  </si>
  <si>
    <t>ADD: DEBIT IN OUR BOOKS BUT NOT CREDITED BY TOGO</t>
  </si>
  <si>
    <t>SOFTCARE TRANSFER IFO YAHE-KADDSH SARL U</t>
  </si>
  <si>
    <t>000TOGO253230001</t>
  </si>
  <si>
    <t>ADD: DEBIT ORIGINATED BY TOGO BUT NOT CREDITED IN OUR BOOKS</t>
  </si>
  <si>
    <t>TGKBANI001 VR300000671 000671 T03 TRANSFERT RECU</t>
  </si>
  <si>
    <t>VR300000671</t>
  </si>
  <si>
    <t>TGKBANI001 VR300000670 000670 T03 TRANSFERT RECU</t>
  </si>
  <si>
    <t>VR300000670</t>
  </si>
  <si>
    <t>TGKBANI001 VR300000672 000672 T03 TRANSFERT RECU</t>
  </si>
  <si>
    <t>VR300000672</t>
  </si>
  <si>
    <t>TGKBANI001 VR300000675 000675 T03 TRANSFERT RECU</t>
  </si>
  <si>
    <t>VR300000675</t>
  </si>
  <si>
    <t>TGKBANI001 VR300000674 000674 T03 TRANSFERT RECU</t>
  </si>
  <si>
    <t>VR300000674</t>
  </si>
  <si>
    <t>LESS: CREDIT ORIGINATED BY TOGO BUT NOT DEBITED IN OUR BOOKS</t>
  </si>
  <si>
    <t>TGE.ELW001 SB213089975 089975 354 TRANSFER FUNDS/KANE-EM INDUSTR</t>
  </si>
  <si>
    <t>SB213089975</t>
  </si>
  <si>
    <t>TGA.ZEI001 SB211090242 090242 354 ANNULATION ECRITUR DU 111125</t>
  </si>
  <si>
    <t>SB211090242</t>
  </si>
  <si>
    <t>TGE.ELW001 SB213090603 090603 354 TRANSFER FUNDS/KEDA (GHANA) CE</t>
  </si>
  <si>
    <t>SB213090603</t>
  </si>
  <si>
    <t>TGA.ZEI001 SB213090819 090819 354 TRANSFER OF FUNDS/SOFTCARE FM</t>
  </si>
  <si>
    <t>SB213090819</t>
  </si>
  <si>
    <t>TGA.ZEI001 SB213090823 090823 354 TRANSFER OF FUNDS/GHANDOUR</t>
  </si>
  <si>
    <t>SB213090823</t>
  </si>
  <si>
    <t>TGA.ZEI001 SB213090731 090731 354 TRANSFER OF FUNDS/SOFTCARE FM</t>
  </si>
  <si>
    <t>SB213090731</t>
  </si>
  <si>
    <t>TGA.ZEI001 SB213090820 090820 354 TRANSFER OF FUNDS/SOFTCARE FM</t>
  </si>
  <si>
    <t>SB213090820</t>
  </si>
  <si>
    <t>TGA.ZEI001 SB213090821 090821 354 TRANSFER OF FUNDS/SOFTCARE FM</t>
  </si>
  <si>
    <t>SB213090821</t>
  </si>
  <si>
    <t>TGA.ZEI001 SB213091251 091251 354 TRANSFER OF FUNDS/SOFTCARE FM</t>
  </si>
  <si>
    <t>SB213091251</t>
  </si>
  <si>
    <t>TGA.ZEI001 SB213091242 091242 354 TRANSFER OF FUNDS/SUNDA GHANA</t>
  </si>
  <si>
    <t>SB213091242</t>
  </si>
  <si>
    <t>TGA.ZEI001 SB213091247 091247 354 TRANSFER OF FUNDS/SUNDA GHANA</t>
  </si>
  <si>
    <t>SB213091247</t>
  </si>
  <si>
    <t>TGA.ZEI001 SB213091235 091235 354 TRANSFER OF FUNDS/SUNDA GHANA</t>
  </si>
  <si>
    <t>SB213091235</t>
  </si>
  <si>
    <t>TGA.ZEI001 SB213091126 091126 354 TRANSFER OF FUNDS/KANE-EM</t>
  </si>
  <si>
    <t>SB213091126</t>
  </si>
  <si>
    <t>TGA.ZEI001 SB213091233 091233 354 TRANSFER OF FUNDS/SUNDA GHANA</t>
  </si>
  <si>
    <t>SB213091233</t>
  </si>
  <si>
    <t>TGA.ZEI001 SB213091245 091245 354 TRANSFER OF FUNDS/SUNDA GHANA</t>
  </si>
  <si>
    <t>SB213091245</t>
  </si>
  <si>
    <t>TGA.ZEI001 SB213091249 091249 354 TRANSFER OF FUNDS/SUNDA GHANA</t>
  </si>
  <si>
    <t>SB213091249</t>
  </si>
  <si>
    <t>TGA.ZEI001 SB213091240 091240 354 TRANSFER OF FUNDS/SUNDA GHANA</t>
  </si>
  <si>
    <t>SB213091240</t>
  </si>
  <si>
    <t>TGA.ZEI001 SB213091246 091246 354 TRANSFER OF FUNDS/SUNDA GHANA</t>
  </si>
  <si>
    <t>SB213091246</t>
  </si>
  <si>
    <t>TGA.ZEI001 SB213091120 091120 354 TRANSFER OF FUNDS/KANE-EM</t>
  </si>
  <si>
    <t>SB213091120</t>
  </si>
  <si>
    <t>TGA.ZEI001 SB213091231 091231 354 TRANSFER OF FUNDS/SUNDA GHANA</t>
  </si>
  <si>
    <t>SB213091231</t>
  </si>
  <si>
    <t>TGA.ZEI001 SB213091117 091117 354 TRANSFER OF FUNDS/KANE-EM</t>
  </si>
  <si>
    <t>SB213091117</t>
  </si>
  <si>
    <t>TGA.ZEI001 SB213091236 091236 354 TRANSFER OF FUNDS/SUNDA GHANA</t>
  </si>
  <si>
    <t>SB213091236</t>
  </si>
  <si>
    <t>TGA.ZEI001 SB213091232 091232 354 TRANSFER OF FUNDS/SUNDA GHANA</t>
  </si>
  <si>
    <t>SB213091232</t>
  </si>
  <si>
    <t>TGA.ZEI001 SB213091237 091237 354 TRANSFER OF FUNDS/SUNDA GHANA</t>
  </si>
  <si>
    <t>SB213091237</t>
  </si>
  <si>
    <t>TGA.ZEI001 SB213091125 091125 354 TRANSFER OF FUNDS/KANE-EM</t>
  </si>
  <si>
    <t>SB213091125</t>
  </si>
  <si>
    <t>TGA.ZEI001 SB213091241 091241 354 TRANSFER OF FUNDS/SUNDA GHANA</t>
  </si>
  <si>
    <t>SB213091241</t>
  </si>
  <si>
    <t>TGA.ZEI001 SB213091234 091234 354 TRANSFER OF FUNDS/SUNDA GHANA</t>
  </si>
  <si>
    <t>SB213091234</t>
  </si>
  <si>
    <t>TGA.ZEI001 SB213091239 091239 354 TRANSFER OF FUNDS/SUNDA GHANA</t>
  </si>
  <si>
    <t>SB213091239</t>
  </si>
  <si>
    <t>TGA.ZEI001 SB213091243 091243 354 TRANSFER OF FUNDS/SUNDA GHANA</t>
  </si>
  <si>
    <t>SB213091243</t>
  </si>
  <si>
    <t>TGA.ZEI001 SB191091080 091080 354 RGT FACT UNIFOOD/SONAPACK</t>
  </si>
  <si>
    <t>SB191091080</t>
  </si>
  <si>
    <t>TGA.ZEI001 SB213091256 091256 354 TRANSFER OF FUNDS/SOFTCARE FM</t>
  </si>
  <si>
    <t>SB213091256</t>
  </si>
  <si>
    <t>TGA.ZEI001 SB213091250 091250 354 TRANSFER OF FUNDS/SUNDA GHANA</t>
  </si>
  <si>
    <t>SB213091250</t>
  </si>
  <si>
    <t>TGA.ZEI001 SB213091129 091129 354 TRANSFER OF FUNDS/KEDA (GHANA)</t>
  </si>
  <si>
    <t>SB213091129</t>
  </si>
  <si>
    <t>TGA.ZEI001 SB213091260 091260 354 TRANSFER OF FUNDS/KEDA (GHANA</t>
  </si>
  <si>
    <t>SB213091260</t>
  </si>
  <si>
    <t>TGA.ZEI001 SB213091238 091238 354 TRANSFER OF FUNDS/SUNDA GHANA</t>
  </si>
  <si>
    <t>SB213091238</t>
  </si>
  <si>
    <t>TGA.ZEI001 SB213091127 091127 354 TRANSFER OF FUNDS/SOFTCARE FM</t>
  </si>
  <si>
    <t>SB213091127</t>
  </si>
  <si>
    <t>TGA.ZEI001 SB191091096 091096 354 PAIEMENT FACT DABO/NUTRIFOODS</t>
  </si>
  <si>
    <t>SB191091096</t>
  </si>
  <si>
    <t>LESS: CREDIT IN OUR BOOKS BUT NOT DEBITED BY TOGO</t>
  </si>
  <si>
    <t>OMNTR20251777;TRF IFO KOUDADJE KOFFI MENSAH</t>
  </si>
  <si>
    <t>OMNTR20251777</t>
  </si>
  <si>
    <t>OMNTR20251776; TRF IFO KOUDADJE KOFFI MENSAH</t>
  </si>
  <si>
    <t>OMNTR20251776</t>
  </si>
  <si>
    <t>OMNTR20251825 TRF IFO BURKINA FASO CHAMBER OF COMMERCE</t>
  </si>
  <si>
    <t>0010117278014</t>
  </si>
  <si>
    <t>OMNTR20251840 TRF IFO ROTARY DISTRICT 9103-ACD ET GALA</t>
  </si>
  <si>
    <t>OMNTR20251840</t>
  </si>
  <si>
    <t>OMNTR20251856 TRF IFO KAKOU ANGE PACOME</t>
  </si>
  <si>
    <t>OMNTR20251856</t>
  </si>
  <si>
    <t>OMNTR20251859 TRF IFO WAGUEI SOULEYMANE</t>
  </si>
  <si>
    <t>OMNTR20251859</t>
  </si>
  <si>
    <t>OMNTR20251857 TRF IFO MME DAGO MOUNYA OUELEKO</t>
  </si>
  <si>
    <t>OMNTR20251857</t>
  </si>
  <si>
    <t>OMNTR20251858 TRF IFO MME DAGO MOUNYA OUELEKO</t>
  </si>
  <si>
    <t>OMNTR20251858</t>
  </si>
  <si>
    <t>OMNTR20251862 TRF IFO GHADBOUN HADI</t>
  </si>
  <si>
    <t>OMNTR20251862</t>
  </si>
  <si>
    <t>OMNTR20251860 TRF IFO KPOKPA LEKAGNON YANNICK</t>
  </si>
  <si>
    <t>OMNTR20251860</t>
  </si>
  <si>
    <t>OMNTR20251864 TRF IFO KOUDADJE KOFFI MENSAH</t>
  </si>
  <si>
    <t>OMNTR20251864</t>
  </si>
  <si>
    <t>50010010004770</t>
  </si>
  <si>
    <t>UBA NEW YORK EUR</t>
  </si>
  <si>
    <t>0030000093016</t>
  </si>
  <si>
    <t>ADD: DEBIT IN OUR BOOKS BUT NOT CREDITED BY UBA</t>
  </si>
  <si>
    <t>ADD: DEBIT ORIGINATED BY UBA BUT NOT CREDITED IN OUR BOOKS</t>
  </si>
  <si>
    <t>PTC FEE-OMNAP20254243</t>
  </si>
  <si>
    <t>OMNAP20254243</t>
  </si>
  <si>
    <t>PTC FEE-OMNAP20254316</t>
  </si>
  <si>
    <t>OMNAP20254316</t>
  </si>
  <si>
    <t>PTC FEE-OMNAP20254284</t>
  </si>
  <si>
    <t>OMNAP20254284</t>
  </si>
  <si>
    <t>PTC FEE-OMNAP20254303</t>
  </si>
  <si>
    <t>OMNAP20254303</t>
  </si>
  <si>
    <t>PTC FEE-OMNAP20254308</t>
  </si>
  <si>
    <t>OMNAP20254308</t>
  </si>
  <si>
    <t>PTC FEE-OMNOPA20251045</t>
  </si>
  <si>
    <t>OMNOPA20251045</t>
  </si>
  <si>
    <t>PTC FEE-OMNTR20251763</t>
  </si>
  <si>
    <t>OMNTR20251763</t>
  </si>
  <si>
    <t>PTC FEE-OMNAP20254323</t>
  </si>
  <si>
    <t>OMNAP20254323</t>
  </si>
  <si>
    <t>50010010004770 NY105 PTC FEE-OMNAP202 PTC FEE-OMNAP20254269</t>
  </si>
  <si>
    <t>OMNAP202</t>
  </si>
  <si>
    <t>50010010004770 NY22 PTC FEE-OMNAP202 PTC FEE-OMNAP20254315</t>
  </si>
  <si>
    <t>50010010004770 NY194 PTC FEE-OMNAP202 PTC FEE-OMNAP20254366</t>
  </si>
  <si>
    <t>50010010004770 NY111 PTC FEE-OMNAP202 PTC FEE-OMNAP20254255</t>
  </si>
  <si>
    <t>50010010004770 NY25 PTC FEE-OMNAP202 PTC FEE-OMNAP20254420</t>
  </si>
  <si>
    <t>50010010004770 NY111 PTC FEE-OMNAP202 PTC FEE-OMNAP20254418</t>
  </si>
  <si>
    <t>OMNAP20254418</t>
  </si>
  <si>
    <t>LESS: CREDIT ORIGINATED BY UBA BUT NOT DEBITED IN OUR BOOKS</t>
  </si>
  <si>
    <t>LESS: CREDIT IN OUR BOOKS BUT NOT DEBITED BY UBA</t>
  </si>
  <si>
    <t>OMNOPA20251053; TRF IFO TRANSMARE CHEMIE NV</t>
  </si>
  <si>
    <t>PAYMENT FOR SITTING ALLOWANCE FOR THE FINANCE, OPERATIONS &amp; IT BOARD SUB COMMITTEE DD 13.11.2025</t>
  </si>
  <si>
    <t>OMNTR20251852 TRF IFO EUROPEAN COLLEGE OF INNOVATION(ECI) LTD</t>
  </si>
  <si>
    <t>OMNTR20251852</t>
  </si>
  <si>
    <t>OMNOPA20251085 TRF IFO IMBALLAGGI WEST AFRICA</t>
  </si>
  <si>
    <t>OMNOPA20251085</t>
  </si>
  <si>
    <t>OMNAP20254463 TRF IFO KARL GEUTHER HANDELS- GMBH &amp; CO.KG</t>
  </si>
  <si>
    <t>OMNAP20254463</t>
  </si>
  <si>
    <t>OMNOPA20251091 ; TRF IFO SYMRISE GRANDA S.A.U</t>
  </si>
  <si>
    <t>OMNOPA20251091</t>
  </si>
  <si>
    <t>OMNOPA20251086 ; TRF IFO CLAYTON FINANCE LTD</t>
  </si>
  <si>
    <t>OMNOPA20251086</t>
  </si>
  <si>
    <t>OMNOPA20251079 TRF IFO UNIVERSAL PACK S.R.L</t>
  </si>
  <si>
    <t>OMNOPA20251079</t>
  </si>
  <si>
    <t>50010010004787</t>
  </si>
  <si>
    <t>UBA NEW YORK GBP</t>
  </si>
  <si>
    <t>0040000093013</t>
  </si>
  <si>
    <t>251119084050 ; INFLOW B/O ASIANIC LTD IRO  ASIAALINONE 2025071717630217 FFC</t>
  </si>
  <si>
    <t>251119084050</t>
  </si>
  <si>
    <t>50010010004787 NY135 ROC NATION SPORT ROC NATION SPORTS LIMITED-202511180000641</t>
  </si>
  <si>
    <t>202511180000641</t>
  </si>
  <si>
    <t>50010010004787 NY130 ASIANIC LIMITED- ASIANIC LIMITED-202511190000053</t>
  </si>
  <si>
    <t>202511190000053</t>
  </si>
  <si>
    <t>OMNTR20251797;TRF IFO GRACE ASARE</t>
  </si>
  <si>
    <t>OMNAP20254434 ; TRF IFO BESPOKE KITCHENS SOLUTIONS LTD</t>
  </si>
  <si>
    <t>50010010004763</t>
  </si>
  <si>
    <t>UBA NEW YORK USD</t>
  </si>
  <si>
    <t>0020000093019</t>
  </si>
  <si>
    <t>REV OMNAP20254388 ; TRF IFO SAVILE ROW ONLINE LTD</t>
  </si>
  <si>
    <t>7 DY USD MM PLACEMENT - GCB MM CONTRACT LIQUIDATION</t>
  </si>
  <si>
    <t>REV OMNTR20251797 ; TRF IFO GRACE ASARE</t>
  </si>
  <si>
    <t>199326.366706 ; INFLOW B/O TRAVELSCAPE LLC IRO  POP HOTEL SUPPLIER PAYMENT</t>
  </si>
  <si>
    <t>199326.366706</t>
  </si>
  <si>
    <t>1199287.366706 ; IFO TRAVELSCAPE LLC IRO  POP HOTEL SUPPLIER PAYMENT</t>
  </si>
  <si>
    <t>1199287.366706</t>
  </si>
  <si>
    <t>FX PURCHASE USD, GHS @ 11.10 000FXSP253240502</t>
  </si>
  <si>
    <t>000FXSP253240502</t>
  </si>
  <si>
    <t>FX PURCHASE USD,GHS @ 11.05</t>
  </si>
  <si>
    <t>000FXSP253240001</t>
  </si>
  <si>
    <t>50010010004763 NY11 WIRE OUT FEE-OMN WIRE OUT FEE-OMNAP20254285</t>
  </si>
  <si>
    <t>OMNAP20254285</t>
  </si>
  <si>
    <t>50010010004763 NY98 WIRE OUT FEE-OMN WIRE OUT FEE-OMNAP20254305</t>
  </si>
  <si>
    <t>OMNAP20254305</t>
  </si>
  <si>
    <t>50010010004763 NY123 WIRE OUT FEE-OMN WIRE OUT FEE-OMNAP20254310</t>
  </si>
  <si>
    <t>OMNAP20254310</t>
  </si>
  <si>
    <t>50010010004763 NY57 WIRE OUT FEE-OMN WIRE OUT FEE-OMNAP20254321</t>
  </si>
  <si>
    <t>OMNAP20254321</t>
  </si>
  <si>
    <t>50010010004763 NY115 WIRE OUT FEE-OMN WIRE OUT FEE-OMNAP20254330</t>
  </si>
  <si>
    <t>OMNAP20254330</t>
  </si>
  <si>
    <t>50010010004763 NY38 WIRE OUT FEE-OMN WIRE OUT FEE-OMNAP20254333</t>
  </si>
  <si>
    <t>OMNAP20254333</t>
  </si>
  <si>
    <t>50010010004763 NY108 WIRE OUT FEE-OMN WIRE OUT FEE-OMNAP20254346</t>
  </si>
  <si>
    <t>OMNAP20254346</t>
  </si>
  <si>
    <t>50010010004763 NY109 WIRE OUT FEE-OMN WIRE OUT FEE-OMNAP20254349</t>
  </si>
  <si>
    <t>OMNAP20254349</t>
  </si>
  <si>
    <t>50010010004763 NY83 WIRE OUT FEE-OMN WIRE OUT FEE-OMNOPA20251050</t>
  </si>
  <si>
    <t>OMNOPA20251050</t>
  </si>
  <si>
    <t>50010010004763 NY107 WIRE OUT FEE-OMN WIRE OUT FEE-OMNOPA20251051</t>
  </si>
  <si>
    <t>OMNOPA20251051</t>
  </si>
  <si>
    <t>50010010004763 NY74 WIRE OUT FEE-OMN WIRE OUT FEE-OMNOPA20251055</t>
  </si>
  <si>
    <t>OMNOPA20251055</t>
  </si>
  <si>
    <t>50010010004763 NY75 WIRE OUT FEE-OMN WIRE OUT FEE-OMNOPA20251056</t>
  </si>
  <si>
    <t>OMNOPA20251056</t>
  </si>
  <si>
    <t>50010010004763 NY73 WIRE OUT FEE-OMN WIRE OUT FEE-OMNOPA20251057</t>
  </si>
  <si>
    <t>OMNOPA20251057</t>
  </si>
  <si>
    <t>50010010004763 NY104 WIRE OUT FEE-OMN WIRE OUT FEE-OMNTR20251554R</t>
  </si>
  <si>
    <t>OMNTR20251554R</t>
  </si>
  <si>
    <t>50010010004763 NY117 WIRE OUT FEE-OMN WIRE OUT FEE-OMNTR20251713</t>
  </si>
  <si>
    <t>OMNTR20251713</t>
  </si>
  <si>
    <t>50010010004763 NY10 WIRE OUT FEE-OMN WIRE OUT FEE-OMNTR20251773</t>
  </si>
  <si>
    <t>OMNTR20251773</t>
  </si>
  <si>
    <t>50010010004763 NY77 WIRE OUT FEE-OMN WIRE OUT FEE-OMNTR20251782</t>
  </si>
  <si>
    <t>OMNTR20251782</t>
  </si>
  <si>
    <t>50010010004763 NY63 WIRE OUT FEE-OMN WIRE OUT FEE-OMNTR20251788</t>
  </si>
  <si>
    <t>OMNTR20251788</t>
  </si>
  <si>
    <t>50010010004763 NY56 WIRE OUT FEE-OMN WIRE OUT FEE-OMNTR20251790</t>
  </si>
  <si>
    <t>OMNTR20251790</t>
  </si>
  <si>
    <t>50010010004763 NY95 WIRE OUT FEE-OMN WIRE OUT FEE-OMNTR20251792</t>
  </si>
  <si>
    <t>OMNTR20251792</t>
  </si>
  <si>
    <t>50010010004763 NY174 WIRE OUT FEE-OMN WIRE OUT FEE-OMNAP20254218R</t>
  </si>
  <si>
    <t>OMNAP20254218R</t>
  </si>
  <si>
    <t>50010010004763 NY125 WIRE OUT FEE-OMN WIRE OUT FEE-OMNAP20254292</t>
  </si>
  <si>
    <t>OMNAP20254292</t>
  </si>
  <si>
    <t>50010010004763 NY108 WIRE OUT FEE-OMN WIRE OUT FEE-OMNAP20254307</t>
  </si>
  <si>
    <t>OMNAP20254307</t>
  </si>
  <si>
    <t>50010010004763 NY72 WIRE OUT FEE-OMN WIRE OUT FEE-OMNAP20254319</t>
  </si>
  <si>
    <t>OMNAP20254319</t>
  </si>
  <si>
    <t>50010010004763 NY191 WIRE OUT FEE-OMN WIRE OUT FEE-OMNAP20254332</t>
  </si>
  <si>
    <t>OMNAP20254332</t>
  </si>
  <si>
    <t>50010010004763 NY225 WIRE OUT FEE-OMN WIRE OUT FEE-OMNAP20254336</t>
  </si>
  <si>
    <t>OMNAP20254336</t>
  </si>
  <si>
    <t>50010010004763 NY51 WIRE OUT FEE-OMN WIRE OUT FEE-OMNAP20254339</t>
  </si>
  <si>
    <t>OMNAP20254339</t>
  </si>
  <si>
    <t>50010010004763 NY71 WIRE OUT FEE-OMN WIRE OUT FEE-OMNAP20254340</t>
  </si>
  <si>
    <t>OMNAP20254340</t>
  </si>
  <si>
    <t>50010010004763 NY60 WIRE OUT FEE-OMN WIRE OUT FEE-OMNAP20254341</t>
  </si>
  <si>
    <t>OMNAP20254341</t>
  </si>
  <si>
    <t>50010010004763 NY26 WIRE OUT FEE-OMN WIRE OUT FEE-OMNAP20254342</t>
  </si>
  <si>
    <t>OMNAP20254342</t>
  </si>
  <si>
    <t>50010010004763 NY45 WIRE OUT FEE-OMN WIRE OUT FEE-OMNAP20254344</t>
  </si>
  <si>
    <t>OMNAP20254344</t>
  </si>
  <si>
    <t>50010010004763 NY25 WIRE OUT FEE-OMN WIRE OUT FEE-OMNAP20254345</t>
  </si>
  <si>
    <t>OMNAP20254345</t>
  </si>
  <si>
    <t>50010010004763 NY44 WIRE OUT FEE-OMN WIRE OUT FEE-OMNAP20254353</t>
  </si>
  <si>
    <t>OMNAP20254353</t>
  </si>
  <si>
    <t>50010010004763 NY50 WIRE OUT FEE-OMN WIRE OUT FEE-OMNAP20254354</t>
  </si>
  <si>
    <t>OMNAP20254354</t>
  </si>
  <si>
    <t>50010010004763 NY56 WIRE OUT FEE-OMN WIRE OUT FEE-OMNAP20254359</t>
  </si>
  <si>
    <t>OMNAP20254359</t>
  </si>
  <si>
    <t>50010010004763 NY52 WIRE OUT FEE-OMN WIRE OUT FEE-OMNAP20254360</t>
  </si>
  <si>
    <t>OMNAP20254360</t>
  </si>
  <si>
    <t>50010010004763 NY61 WIRE OUT FEE-OMN WIRE OUT FEE-OMNAP20254363</t>
  </si>
  <si>
    <t>OMNAP20254363</t>
  </si>
  <si>
    <t>50010010004763 NY59 WIRE OUT FEE-OMN WIRE OUT FEE-OMNAP20254364</t>
  </si>
  <si>
    <t>OMNAP20254364</t>
  </si>
  <si>
    <t>50010010004763 NY180 WIRE OUT FEE-OMN WIRE OUT FEE-OMNAP20254389</t>
  </si>
  <si>
    <t>OMNAP20254389</t>
  </si>
  <si>
    <t>50010010004763 NY124 WIRE OUT FEE-OMN WIRE OUT FEE-OMNOPA20251058</t>
  </si>
  <si>
    <t>OMNOPA20251058</t>
  </si>
  <si>
    <t>50010010004763 NY139 WIRE OUT FEE-OMN WIRE OUT FEE-OMNOPA20251059</t>
  </si>
  <si>
    <t>OMNOPA20251059</t>
  </si>
  <si>
    <t>50010010004763 NY231 WIRE OUT FEE-OMN WIRE OUT FEE-OMNTR20251784</t>
  </si>
  <si>
    <t>OMNTR20251784</t>
  </si>
  <si>
    <t>50010010004763 NY239 WIRE OUT FEE-OMN WIRE OUT FEE-OMNTR20251784</t>
  </si>
  <si>
    <t>50010010004763 NY67 WIRE OUT FEE-OMN WIRE OUT FEE-OMNTR20251791</t>
  </si>
  <si>
    <t>OMNTR20251791</t>
  </si>
  <si>
    <t>50010010004763 NY192 WIRE OUT FEE-OMN WIRE OUT FEE-OMNTR20251793</t>
  </si>
  <si>
    <t>OMNTR20251793</t>
  </si>
  <si>
    <t>50010010004763 NY210 WIRE OUT FEE-OMN WIRE OUT FEE-OMNTR20251794</t>
  </si>
  <si>
    <t>OMNTR20251794</t>
  </si>
  <si>
    <t>50010010004763 NY164 WIRE OUT FEE-OMN WIRE OUT FEE-OMNTR20251796</t>
  </si>
  <si>
    <t>OMNTR20251796</t>
  </si>
  <si>
    <t>50010010004763 NY129 WIRE OUT FEE-OMN WIRE OUT FEE-OMNTR20251798</t>
  </si>
  <si>
    <t>OMNTR20251798</t>
  </si>
  <si>
    <t>50010010004763 NY20 WIRE OUT FEE-OMB WIRE OUT FEE-OMBS/IDC2025187</t>
  </si>
  <si>
    <t>50010010004763 NY79 WIRE OUT FEE-OMN WIRE OUT FEE-OMNAP20254227</t>
  </si>
  <si>
    <t>OMNAP20254227</t>
  </si>
  <si>
    <t>50010010004763 NY129 WIRE OUT FEE-OMN WIRE OUT FEE-OMNAP20254286</t>
  </si>
  <si>
    <t>OMNAP20254286</t>
  </si>
  <si>
    <t>50010010004763 NY86 WIRE OUT FEE-OMN WIRE OUT FEE-OMNAP20254318</t>
  </si>
  <si>
    <t>OMNAP20254318</t>
  </si>
  <si>
    <t>50010010004763 NY108 WIRE OUT FEE-OMN WIRE OUT FEE-OMNAP20254326</t>
  </si>
  <si>
    <t>OMNAP20254326</t>
  </si>
  <si>
    <t>50010010004763 NY104 WIRE OUT FEE-OMN WIRE OUT FEE-OMNAP20254331</t>
  </si>
  <si>
    <t>OMNAP20254331</t>
  </si>
  <si>
    <t>50010010004763 NY113 WIRE OUT FEE-OMN WIRE OUT FEE-OMNAP20254343</t>
  </si>
  <si>
    <t>OMNAP20254343</t>
  </si>
  <si>
    <t>50010010004763 NY49 WIRE OUT FEE-OMN WIRE OUT FEE-OMNAP20254357</t>
  </si>
  <si>
    <t>OMNAP20254357</t>
  </si>
  <si>
    <t>50010010004763 NY44 WIRE OUT FEE-OMN WIRE OUT FEE-OMNAP20254365</t>
  </si>
  <si>
    <t>OMNAP20254365</t>
  </si>
  <si>
    <t>50010010004763 NY109 WIRE OUT FEE-OMN WIRE OUT FEE-OMNAP20254367</t>
  </si>
  <si>
    <t>OMNAP20254367</t>
  </si>
  <si>
    <t>50010010004763 NY33 WIRE OUT FEE-OMN WIRE OUT FEE-OMNAP20254368</t>
  </si>
  <si>
    <t>OMNAP20254368</t>
  </si>
  <si>
    <t>50010010004763 NY180 WIRE OUT FEE-OMN WIRE OUT FEE-OMNAP20254369</t>
  </si>
  <si>
    <t>OMNAP20254369</t>
  </si>
  <si>
    <t>50010010004763 NY124 WIRE OUT FEE-OMN WIRE OUT FEE-OMNAP20254371</t>
  </si>
  <si>
    <t>OMNAP20254371</t>
  </si>
  <si>
    <t>50010010004763 NY32 WIRE OUT FEE-OMN WIRE OUT FEE-OMNAP20254373</t>
  </si>
  <si>
    <t>OMNAP20254373</t>
  </si>
  <si>
    <t>50010010004763 NY110 WIRE OUT FEE-OMN WIRE OUT FEE-OMNAP20254374</t>
  </si>
  <si>
    <t>OMNAP20254374</t>
  </si>
  <si>
    <t>50010010004763 NY80 WIRE OUT FEE-OMN WIRE OUT FEE-OMNAP20254376</t>
  </si>
  <si>
    <t>OMNAP20254376</t>
  </si>
  <si>
    <t>50010010004763 NY18 WIRE OUT FEE-OMN WIRE OUT FEE-OMNAP20254377</t>
  </si>
  <si>
    <t>OMNAP20254377</t>
  </si>
  <si>
    <t>50010010004763 NY47 WIRE OUT FEE-OMN WIRE OUT FEE-OMNAP20254378</t>
  </si>
  <si>
    <t>OMNAP20254378</t>
  </si>
  <si>
    <t>50010010004763 NY56 WIRE OUT FEE-OMN WIRE OUT FEE-OMNAP20254379</t>
  </si>
  <si>
    <t>OMNAP20254379</t>
  </si>
  <si>
    <t>50010010004763 NY181 WIRE OUT FEE-OMN WIRE OUT FEE-OMNAP20254382</t>
  </si>
  <si>
    <t>OMNAP20254382</t>
  </si>
  <si>
    <t>50010010004763 NY21 WIRE OUT FEE-OMN WIRE OUT FEE-OMNAP20254383</t>
  </si>
  <si>
    <t>OMNAP20254383</t>
  </si>
  <si>
    <t>50010010004763 NY46 WIRE OUT FEE-OMN WIRE OUT FEE-OMNAP20254384</t>
  </si>
  <si>
    <t>OMNAP20254384</t>
  </si>
  <si>
    <t>50010010004763 NY107 WIRE OUT FEE-OMN WIRE OUT FEE-OMNAP20254385</t>
  </si>
  <si>
    <t>OMNAP20254385</t>
  </si>
  <si>
    <t>50010010004763 NY52 WIRE OUT FEE-OMN WIRE OUT FEE-OMNAP20254386</t>
  </si>
  <si>
    <t>OMNAP20254386</t>
  </si>
  <si>
    <t>50010010004763 NY34 WIRE OUT FEE-OMN WIRE OUT FEE-OMNAP20254387</t>
  </si>
  <si>
    <t>OMNAP20254387</t>
  </si>
  <si>
    <t>50010010004763 NY128 WIRE OUT FEE-OMN WIRE OUT FEE-OMNAP20254390</t>
  </si>
  <si>
    <t>OMNAP20254390</t>
  </si>
  <si>
    <t>50010010004763 NY168 WIRE OUT FEE-OMN WIRE OUT FEE-OMNAP20254391</t>
  </si>
  <si>
    <t>OMNAP20254391</t>
  </si>
  <si>
    <t>50010010004763 NY125 WIRE OUT FEE-OMN WIRE OUT FEE-OMNOPA20251062</t>
  </si>
  <si>
    <t>OMNOPA20251062</t>
  </si>
  <si>
    <t>50010010004763 NY141 WIRE OUT FEE-OMN WIRE OUT FEE-OMNOPA20251063</t>
  </si>
  <si>
    <t>OMNOPA20251063</t>
  </si>
  <si>
    <t>50010010004763 NY57 WIRE OUT FEE-OMN WIRE OUT FEE-OMNOPA20251064</t>
  </si>
  <si>
    <t>OMNOPA20251064</t>
  </si>
  <si>
    <t>50010010004763 NY224 WIRE OUT FEE-OMN WIRE OUT FEE-OMNOPA20251068</t>
  </si>
  <si>
    <t>OMNOPA20251068</t>
  </si>
  <si>
    <t>50010010004763 NY22 WIRE OUT FEE-OMN WIRE OUT FEE-OMNTR20251780</t>
  </si>
  <si>
    <t>OMNTR20251780</t>
  </si>
  <si>
    <t>50010010004763 NY115 WIRE OUT FEE-OMN WIRE OUT FEE-OMNTR20251783</t>
  </si>
  <si>
    <t>OMNTR20251783</t>
  </si>
  <si>
    <t>50010010004763 NY50 WIRE OUT FEE-OMN WIRE OUT FEE-OMNTR20251799</t>
  </si>
  <si>
    <t>OMNTR20251799</t>
  </si>
  <si>
    <t>50010010004763 NY106 WIRE OUT FEE-OMN WIRE OUT FEE-OMNTR20251802</t>
  </si>
  <si>
    <t>OMNTR20251802</t>
  </si>
  <si>
    <t>50010010004763 NY77 WIRE OUT FEE-OMN WIRE OUT FEE-OMNTR20251806</t>
  </si>
  <si>
    <t>OMNTR20251806</t>
  </si>
  <si>
    <t>50010010004763 NY55 WIRE OUT FEE-OMN WIRE OUT FEE-OMNTR20251807</t>
  </si>
  <si>
    <t>OMNTR20251807</t>
  </si>
  <si>
    <t>50010010004763 NY145 WIRE OUT FEE-OMN WIRE OUT FEE-OMNTR20251809</t>
  </si>
  <si>
    <t>OMNTR20251809</t>
  </si>
  <si>
    <t>50010010004763 NY112 WIRE OUT FEE-OMN WIRE OUT FEE-OMNTR20251810</t>
  </si>
  <si>
    <t>OMNTR20251810</t>
  </si>
  <si>
    <t>50010010004763 NY15 WIRE OUT FEE-OMN WIRE OUT FEE-OMNTR20251813</t>
  </si>
  <si>
    <t>OMNTR20251813</t>
  </si>
  <si>
    <t>50010010004763 NY12 WIRE OUT FEE-OMN WIRE OUT FEE-OMNTR20251814</t>
  </si>
  <si>
    <t>OMNTR20251814</t>
  </si>
  <si>
    <t>50010010004763 NY14 WIRE OUT FEE-OMN WIRE OUT FEE-OMNTR20251815</t>
  </si>
  <si>
    <t>OMNTR20251815</t>
  </si>
  <si>
    <t>50010010004763 NY13 WIRE OUT FEE-OMN WIRE OUT FEE-OMNTR20251816</t>
  </si>
  <si>
    <t>OMNTR20251816</t>
  </si>
  <si>
    <t>50010010004763 NY161 WIRE OUT FEE-OMN WIRE OUT FEE-OMNTR20251818</t>
  </si>
  <si>
    <t>OMNTR20251818</t>
  </si>
  <si>
    <t>50010010004763 NY21 WIRE OUT FEE-OMN WIRE OUT FEE-OMNAP20254302</t>
  </si>
  <si>
    <t>OMNAP20254302</t>
  </si>
  <si>
    <t>50010010004763 NY19 WIRE OUT FEE-OMN WIRE OUT FEE-OMNAP20254380</t>
  </si>
  <si>
    <t>OMNAP20254380</t>
  </si>
  <si>
    <t>50010010004763 NY62 WIRE OUT FEE-OMN WIRE OUT FEE-OMNAP20254393</t>
  </si>
  <si>
    <t>OMNAP20254393</t>
  </si>
  <si>
    <t>50010010004763 NY7 WIRE OUT FEE-OMN WIRE OUT FEE-OMNAP20254394</t>
  </si>
  <si>
    <t>OMNAP20254394</t>
  </si>
  <si>
    <t>50010010004763 NY20 WIRE OUT FEE-OMN WIRE OUT FEE-OMNAP20254395</t>
  </si>
  <si>
    <t>OMNAP20254395</t>
  </si>
  <si>
    <t>50010010004763 NY42 WIRE OUT FEE-OMN WIRE OUT FEE-OMNAP20254396</t>
  </si>
  <si>
    <t>OMNAP20254396</t>
  </si>
  <si>
    <t>50010010004763 NY43 WIRE OUT FEE-OMN WIRE OUT FEE-OMNAP20254406</t>
  </si>
  <si>
    <t>OMNAP20254406</t>
  </si>
  <si>
    <t>50010010004763 NY183 WIRE OUT FEE-OMN WIRE OUT FEE-OMNAP20254407</t>
  </si>
  <si>
    <t>OMNAP20254407</t>
  </si>
  <si>
    <t>50010010004763 NY65 WIRE OUT FEE-OMN WIRE OUT FEE-OMNAP20254409</t>
  </si>
  <si>
    <t>OMNAP20254409</t>
  </si>
  <si>
    <t>50010010004763 NY6 WIRE OUT FEE-OMN WIRE OUT FEE-OMNAP20254410</t>
  </si>
  <si>
    <t>OMNAP20254410</t>
  </si>
  <si>
    <t>50010010004763 NY86 WIRE OUT FEE-OMN WIRE OUT FEE-OMNOPA20251066</t>
  </si>
  <si>
    <t>OMNOPA20251066</t>
  </si>
  <si>
    <t>50010010004763 NY5 WIRE OUT FEE-OMN WIRE OUT FEE-OMNOPA20251069</t>
  </si>
  <si>
    <t>OMNOPA20251069</t>
  </si>
  <si>
    <t>50010010004763 NY44 WIRE OUT FEE-OMN WIRE OUT FEE-OMNTR20251795</t>
  </si>
  <si>
    <t>OMNTR20251795</t>
  </si>
  <si>
    <t>50010010004763 NY9 WIRE OUT FEE-OMN WIRE OUT FEE-OMNTR20251821</t>
  </si>
  <si>
    <t>OMNTR20251821</t>
  </si>
  <si>
    <t>50010010004763 NY41 WIRE OUT FEE-OMN WIRE OUT FEE-OMNTR20251827</t>
  </si>
  <si>
    <t>OMNTR20251827</t>
  </si>
  <si>
    <t>50010010004763 NY284 WIRE OUT FEE-OMN WIRE OUT FEE-OMNTR20251830</t>
  </si>
  <si>
    <t>OMNTR20251830</t>
  </si>
  <si>
    <t>50010010004763 NY184 WIRE OUT FEE-253 WIRE OUT FEE-2532305369370000</t>
  </si>
  <si>
    <t>50010010004763 NY53 WIRE OUT FEE-OMB WIRE OUT FEE-OMBS/IDC2025147</t>
  </si>
  <si>
    <t>50010010004763 NY27 WIRE OUT FEE-OMN WIRE OUT FEE-OMNAP20254265</t>
  </si>
  <si>
    <t>OMNAP20254265</t>
  </si>
  <si>
    <t>50010010004763 NY116 WIRE OUT FEE-OMN WIRE OUT FEE-OMNAP20254347</t>
  </si>
  <si>
    <t>OMNAP20254347</t>
  </si>
  <si>
    <t>50010010004763 NY56 WIRE OUT FEE-OMN WIRE OUT FEE-OMNAP20254398</t>
  </si>
  <si>
    <t>OMNAP20254398</t>
  </si>
  <si>
    <t>50010010004763 NY13 WIRE OUT FEE-OMN WIRE OUT FEE-OMNAP20254399</t>
  </si>
  <si>
    <t>OMNAP20254399</t>
  </si>
  <si>
    <t>50010010004763 NY19 WIRE OUT FEE-OMN WIRE OUT FEE-OMNAP20254400</t>
  </si>
  <si>
    <t>OMNAP20254400</t>
  </si>
  <si>
    <t>50010010004763 NY6 WIRE OUT FEE-OMN WIRE OUT FEE-OMNAP20254401</t>
  </si>
  <si>
    <t>OMNAP20254401</t>
  </si>
  <si>
    <t>50010010004763 NY12 WIRE OUT FEE-OMN WIRE OUT FEE-OMNAP20254402</t>
  </si>
  <si>
    <t>OMNAP20254402</t>
  </si>
  <si>
    <t>50010010004763 NY90 WIRE OUT FEE-OMN WIRE OUT FEE-OMNAP20254414</t>
  </si>
  <si>
    <t>OMNAP20254414</t>
  </si>
  <si>
    <t>50010010004763 NY24 WIRE OUT FEE-OMN WIRE OUT FEE-OMNAP20254422</t>
  </si>
  <si>
    <t>OMNAP20254422</t>
  </si>
  <si>
    <t>50010010004763 NY41 WIRE OUT FEE-OMN WIRE OUT FEE-OMNAP20254423</t>
  </si>
  <si>
    <t>OMNAP20254423</t>
  </si>
  <si>
    <t>50010010004763 NY33 WIRE OUT FEE-OMN WIRE OUT FEE-OMNAP20254427</t>
  </si>
  <si>
    <t>OMNAP20254427</t>
  </si>
  <si>
    <t>50010010004763 NY37 WIRE OUT FEE-OMN WIRE OUT FEE-OMNAP20254428</t>
  </si>
  <si>
    <t>OMNAP20254428</t>
  </si>
  <si>
    <t>50010010004763 NY7 WIRE OUT FEE-OMN WIRE OUT FEE-OMNAP20254429</t>
  </si>
  <si>
    <t>OMNAP20254429</t>
  </si>
  <si>
    <t>50010010004763 NY21 WIRE OUT FEE-OMN WIRE OUT FEE-OMNAP20254432</t>
  </si>
  <si>
    <t>OMNAP20254432</t>
  </si>
  <si>
    <t>50010010004763 NY77 WIRE OUT FEE-OMN WIRE OUT FEE-OMNAP20254440</t>
  </si>
  <si>
    <t>OMNAP20254440</t>
  </si>
  <si>
    <t>50010010004763 NY14 WIRE OUT FEE-OMN WIRE OUT FEE-OMNOPA20251070</t>
  </si>
  <si>
    <t>OMNOPA20251070</t>
  </si>
  <si>
    <t>50010010004763 NY8 WIRE OUT FEE-OMN WIRE OUT FEE-OMNOPA20251073</t>
  </si>
  <si>
    <t>OMNOPA20251073</t>
  </si>
  <si>
    <t>50010010004763 NY59 WIRE OUT FEE-OMN WIRE OUT FEE-OMNOPA20251074</t>
  </si>
  <si>
    <t>OMNOPA20251074</t>
  </si>
  <si>
    <t>50010010004763 NY183 WIRE OUT FEE-OMN WIRE OUT FEE-OMNTR20251817</t>
  </si>
  <si>
    <t>OMNTR20251817</t>
  </si>
  <si>
    <t>50010010004763 NY54 WIRE OUT FEE-OMN WIRE OUT FEE-OMNTR20251819</t>
  </si>
  <si>
    <t>OMNTR20251819</t>
  </si>
  <si>
    <t>50010010004763 NY42 WIRE OUT FEE-OMN WIRE OUT FEE-OMNTR20251833</t>
  </si>
  <si>
    <t>OMNTR20251833</t>
  </si>
  <si>
    <t>50010010004763 NY26 WIRE OUT FEE-OMN WIRE OUT FEE-OMNTR20251834</t>
  </si>
  <si>
    <t>OMNTR20251834</t>
  </si>
  <si>
    <t>50010010004763 NY40 WIRE OUT FEE-OMN WIRE OUT FEE-OMNTR20251835</t>
  </si>
  <si>
    <t>OMNTR20251835</t>
  </si>
  <si>
    <t>50010010004763 NY39 WIRE OUT FEE-OMN WIRE OUT FEE-OMNTR20251837</t>
  </si>
  <si>
    <t>OMNTR20251837</t>
  </si>
  <si>
    <t>50010010004763 NY109 WIRE OUT FEE-OMN WIRE OUT FEE-OMNTR20251846</t>
  </si>
  <si>
    <t>OMNTR20251846</t>
  </si>
  <si>
    <t>50010010004763 NY143 WIRE OUT FEE-OMN WIRE OUT FEE-OMNTR20251847</t>
  </si>
  <si>
    <t>OMNTR20251847</t>
  </si>
  <si>
    <t>50010010004763 NY169 OMNIBSIC BANK GH OMNIBSIC BANK GHANA LIMITED-TRSF04201125GHIB</t>
  </si>
  <si>
    <t>TRSF04201125GHIB</t>
  </si>
  <si>
    <t>50010010004763 NY24 WIRE OUT FEE-253 WIRE OUT FEE-2532303334869000</t>
  </si>
  <si>
    <t>2532303334869000</t>
  </si>
  <si>
    <t>50010010004763 NY184 WIRE OUT FEE-253 WIRE OUT FEE-2532402354018000</t>
  </si>
  <si>
    <t>2532402354018000</t>
  </si>
  <si>
    <t>50010010004763 NY49 WIRE OUT FEE-OMN WIRE OUT FEE-OMNAP20254416</t>
  </si>
  <si>
    <t>OMNAP20254416</t>
  </si>
  <si>
    <t>50010010004763 NY57 WIRE OUT FEE-OMN WIRE OUT FEE-OMNAP20254425</t>
  </si>
  <si>
    <t>OMNAP20254425</t>
  </si>
  <si>
    <t>50010010004763 NY21 WIRE OUT FEE-OMN WIRE OUT FEE-OMNAP20254426</t>
  </si>
  <si>
    <t>OMNAP20254426</t>
  </si>
  <si>
    <t>50010010004763 NY37 WIRE OUT FEE-OMN WIRE OUT FEE-OMNAP20254435</t>
  </si>
  <si>
    <t>OMNAP20254435</t>
  </si>
  <si>
    <t>50010010004763 NY48 WIRE OUT FEE-OMN WIRE OUT FEE-OMNAP20254438</t>
  </si>
  <si>
    <t>OMNAP20254438</t>
  </si>
  <si>
    <t>50010010004763 NY35 WIRE OUT FEE-OMN WIRE OUT FEE-OMNAP20254441</t>
  </si>
  <si>
    <t>OMNAP20254441</t>
  </si>
  <si>
    <t>50010010004763 NY65 WIRE OUT FEE-OMN WIRE OUT FEE-OMNAP20254443</t>
  </si>
  <si>
    <t>OMNAP20254443</t>
  </si>
  <si>
    <t>50010010004763 NY77 WIRE OUT FEE-OMN WIRE OUT FEE-OMNAP20254444</t>
  </si>
  <si>
    <t>OMNAP20254444</t>
  </si>
  <si>
    <t>50010010004763 NY109 WIRE OUT FEE-OMN WIRE OUT FEE-OMNAP20254446</t>
  </si>
  <si>
    <t>OMNAP20254446</t>
  </si>
  <si>
    <t>50010010004763 NY36 WIRE OUT FEE-OMN WIRE OUT FEE-OMNAP20254447</t>
  </si>
  <si>
    <t>OMNAP20254447</t>
  </si>
  <si>
    <t>50010010004763 NY34 WIRE OUT FEE-OMN WIRE OUT FEE-OMNAP20254454</t>
  </si>
  <si>
    <t>OMNAP20254454</t>
  </si>
  <si>
    <t>50010010004763 NY38 WIRE OUT FEE-OMN WIRE OUT FEE-OMNAP20254457</t>
  </si>
  <si>
    <t>OMNAP20254457</t>
  </si>
  <si>
    <t>50010010004763 NY39 WIRE OUT FEE-OMN WIRE OUT FEE-OMNAP20254458</t>
  </si>
  <si>
    <t>OMNAP20254458</t>
  </si>
  <si>
    <t>50010010004763 NY43 WIRE OUT FEE-OMN WIRE OUT FEE-OMNAP20254459</t>
  </si>
  <si>
    <t>OMNAP20254459</t>
  </si>
  <si>
    <t>50010010004763 NY27 WIRE OUT FEE-OMN WIRE OUT FEE-OMNOPA20251071</t>
  </si>
  <si>
    <t>OMNOPA20251071</t>
  </si>
  <si>
    <t>50010010004763 NY114 WIRE OUT FEE-OMN WIRE OUT FEE-OMNOPA20251072</t>
  </si>
  <si>
    <t>OMNOPA20251072</t>
  </si>
  <si>
    <t>50010010004763 NY20 WIRE OUT FEE-OMN WIRE OUT FEE-OMNOPA20251076</t>
  </si>
  <si>
    <t>OMNOPA20251076</t>
  </si>
  <si>
    <t>50010010004763 NY26 WIRE OUT FEE-OMN WIRE OUT FEE-OMNOPA20251078</t>
  </si>
  <si>
    <t>OMNOPA20251078</t>
  </si>
  <si>
    <t>50010010004763 NY204 WIRE OUT FEE-OMN WIRE OUT FEE-OMNOPA20251088</t>
  </si>
  <si>
    <t>OMNOPA20251088</t>
  </si>
  <si>
    <t>50010010004763 NY25 WIRE OUT FEE-OMN WIRE OUT FEE-OMNTR20251824</t>
  </si>
  <si>
    <t>OMNTR20251824</t>
  </si>
  <si>
    <t>50010010004763 NY110 WIRE OUT FEE-OMN WIRE OUT FEE-OMNTR20251838</t>
  </si>
  <si>
    <t>OMNTR20251838</t>
  </si>
  <si>
    <t>50010010004763 NY54 WIRE OUT FEE-OMN WIRE OUT FEE-OMNTR20251842</t>
  </si>
  <si>
    <t>OMNTR20251842</t>
  </si>
  <si>
    <t>50010010004763 NY113 WIRE OUT FEE-OMN WIRE OUT FEE-OMNTR20251844</t>
  </si>
  <si>
    <t>OMNTR20251844</t>
  </si>
  <si>
    <t>50010010004763 NY115 WIRE OUT FEE-OMN WIRE OUT FEE-OMNTR20251848</t>
  </si>
  <si>
    <t>OMNTR20251848</t>
  </si>
  <si>
    <t>50010010004763 NY56 WIRE OUT FEE-OMN WIRE OUT FEE-OMNTR20251849</t>
  </si>
  <si>
    <t>OMNTR20251849</t>
  </si>
  <si>
    <t>50010010004763 NY44 WIRE OUT FEE-OMN WIRE OUT FEE-OMNTR20251851</t>
  </si>
  <si>
    <t>OMNTR20251851</t>
  </si>
  <si>
    <t>50010010004763 NY184 ERNEST OPUNI-253 ERNEST OPUNI-2532402354018000</t>
  </si>
  <si>
    <t>50010010004763 NY53 UNITED OVERSEAS UNITED OVERSEAS BANK LIMITED-OMBS/IDC2025192</t>
  </si>
  <si>
    <t>OMBS/IDC2025192</t>
  </si>
  <si>
    <t>50010010004763 NY21 SAM'S CLUB-OMNAP SAM'S CLUB-OMNAP20254426</t>
  </si>
  <si>
    <t>50010010004763 NY22 CAIXABANK, S.A.- CAIXABANK, S.A.-OMBS/IDC2025194</t>
  </si>
  <si>
    <t>OMBS/IDC2025194</t>
  </si>
  <si>
    <t>50010010004763 NY58 HUA XIA BANK-OMB HUA XIA BANK-OMBS/IDC2025184</t>
  </si>
  <si>
    <t>OMBS/IDC2025184</t>
  </si>
  <si>
    <t>50010010004763 NY39 M/S PRG PHARMA P M/S PRG PHARMA PVT.LTD-OMNAP20254458</t>
  </si>
  <si>
    <t>50010010004763 NY45 HUA XIA BANK-OMB HUA XIA BANK-OMBS/IDC2025183</t>
  </si>
  <si>
    <t>OMBS/IDC2025183</t>
  </si>
  <si>
    <t>50010010004763 NY112 AGRICULTURAL DEV AGRICULTURAL DEVELOPMENT BANK-FXSWI01191125ADB</t>
  </si>
  <si>
    <t>FXSWI01191125ADB</t>
  </si>
  <si>
    <t>50010010004763 NY66 GUARANTY TRUST B GUARANTY TRUST BANK (GHANA) LTD-000MMOL25323005</t>
  </si>
  <si>
    <t>000MMOL25323005</t>
  </si>
  <si>
    <t>Fund trf from KLUTSE FELIX DELA_x0002_20251107000024</t>
  </si>
  <si>
    <t>10-Nov-2025</t>
  </si>
  <si>
    <t>Fund trf from BARCLAYS BANK PLC-SWF035776310</t>
  </si>
  <si>
    <t>SWF035776310</t>
  </si>
  <si>
    <t>50010010004763 NY231 MUSIC STYLING.CO MUSIC STYLING.COM LIMITED-202511130000050</t>
  </si>
  <si>
    <t>50010010004763 NY154 ZEBLGHAC-512151 ZEBLGHAC-512151</t>
  </si>
  <si>
    <t>50010010004763 NY328 GUANGZHOU CARDO GUANGZHOU CARDO AUTO PARTS CO.,LT-202510150000180</t>
  </si>
  <si>
    <t>50010010004763 NY112 TRAVELSCAPE, LLC TRAVELSCAPE, LLC-NOTPROVIDED</t>
  </si>
  <si>
    <t>50010010004763 NY111 TRAVELSCAPE, LLC TRAVELSCAPE, LLC-NOTPROVIDED</t>
  </si>
  <si>
    <t>50010010004763 NY197 MALICK ISSAH-INT MALICK ISSAH-INT-00262486</t>
  </si>
  <si>
    <t>50010010004763 NY84 1/AFRICAN DEVELO 1/AFRICAN DEVELOPMENT BANK, ABIDJ-202511190000077</t>
  </si>
  <si>
    <t>50010010004763 NY145 DITTO LTD-NOTPRO DITTO LTD-NOTPROVIDED</t>
  </si>
  <si>
    <t>NOTPROVIDED</t>
  </si>
  <si>
    <t>50010010004763 NY94 GCB BANK PLC-593 GCB BANK PLC-593235</t>
  </si>
  <si>
    <t>593235</t>
  </si>
  <si>
    <t>50010010004763 NY171 ABSA BANK OF GHA ABSA BANK OF GHANA LIMITED-FAS1397749305</t>
  </si>
  <si>
    <t>FAS1397749305</t>
  </si>
  <si>
    <t>50010010004763 NY97 1/1/HARD SARL-20 1/1/HARD SARL-202511200000054</t>
  </si>
  <si>
    <t>202511200000054</t>
  </si>
  <si>
    <t>50010010004763 NY185 BANK OF GHANA-BA BANK OF GHANA-BATHAC1105OMBLAC</t>
  </si>
  <si>
    <t>BATHAC1105OMBLAC</t>
  </si>
  <si>
    <t>OMNAP20254170 ; TRF IFO CHANGZHOU WENJIAN MACHINERY CO. LTD</t>
  </si>
  <si>
    <t>OMNAP20254170</t>
  </si>
  <si>
    <t>OMNAP20254168 ; TRF IFO FUZHOU DONGZAN IMPORT &amp; EXPORT</t>
  </si>
  <si>
    <t>OMNAP20254168</t>
  </si>
  <si>
    <t>06-Nov-2025</t>
  </si>
  <si>
    <t>OMNAP20254228;TRF IFO FUZHOU DONGZAN IMPORT AND EXPORT CO LTD</t>
  </si>
  <si>
    <t>OMNAP20254228</t>
  </si>
  <si>
    <t>OMBS/IDC2025135; BILLS FOR COLLECTION IFO AGROFORTUNE INDUSTRIAL CO LTD</t>
  </si>
  <si>
    <t>2531601463448000_PYMNT IRO ACCOMODATION AND PER DIEM FOR OFFSHORE TRAINING - MICHAEL AWORTWE</t>
  </si>
  <si>
    <t>OMNTR20251812 ; TRF IFO PARK YOUNG HEE</t>
  </si>
  <si>
    <t>OMNTR20251812</t>
  </si>
  <si>
    <t>FXSWI01141125ZEN FX SWITCH PURCHASE @ 10.99 ZENITH - LAURIUS</t>
  </si>
  <si>
    <t>OMNTR20251826 TRF IFO CHIOMA JENNIFER EGBOCHUKWU</t>
  </si>
  <si>
    <t>OMNTR20251826</t>
  </si>
  <si>
    <t>OMNAP20254392 TRF IFO FUZHOU YI MEI TAI TRADING COMPANY</t>
  </si>
  <si>
    <t>OMNAP20254392</t>
  </si>
  <si>
    <t>OMNTR20251832 TRF IFO PROJECT RESOURCES SERVICES</t>
  </si>
  <si>
    <t>OMNTR20251832</t>
  </si>
  <si>
    <t>OMNAP20254426 TRF IFO SAMS CLUB</t>
  </si>
  <si>
    <t>OMBS/IDC2025184 ; BILLS FOR COLLECTION IFO HEFEI CHANGHONG INDUSTRY CO LTD</t>
  </si>
  <si>
    <t>OMNAP20254404 TRF IFO WINCOM PTE LTD</t>
  </si>
  <si>
    <t>OMNAP20254404</t>
  </si>
  <si>
    <t>OMBS/IDC2025183 ; BILLS FOR COLLECTION IFO HEFEI CHANGHONG INDUSTRY CO LTD</t>
  </si>
  <si>
    <t>OMNTR20251841 TRF IFO MANAV V GOKALDAS</t>
  </si>
  <si>
    <t>OMNTR20251841</t>
  </si>
  <si>
    <t>OMNTR20251850 TRF IFO ETHICAL TRADE SERVICES AFRICA LTD</t>
  </si>
  <si>
    <t>OMNTR20251850</t>
  </si>
  <si>
    <t>OMNAP20254450 ; TRF IFO EBMPAPST</t>
  </si>
  <si>
    <t>OMNAP20254450</t>
  </si>
  <si>
    <t>OMNAP20254470 TRF IFO BEIJING MIDEA OVERSEAS ENGINEERING TECHNOLOGY CO LTD</t>
  </si>
  <si>
    <t>OMNAP20254470</t>
  </si>
  <si>
    <t>OMNAP20254472 TRF IFO HONSOAR NEW BUILDING MATERIAL CO., LTD</t>
  </si>
  <si>
    <t>OMNAP20254472</t>
  </si>
  <si>
    <t>OMNAP20254469; TRF IFO SHOUGUANG HONSOAR&amp;EXP.TRADING LTD</t>
  </si>
  <si>
    <t>OMNAP20254469</t>
  </si>
  <si>
    <t>OMNTR20251839 TRF IFO CHEN YIN TA</t>
  </si>
  <si>
    <t>OMNTR20251839</t>
  </si>
  <si>
    <t>OMNAP20254405 TRF IFO RISING REFRIGERATION CO., LIMITED</t>
  </si>
  <si>
    <t>OMNAP20254405</t>
  </si>
  <si>
    <t>OMNAP20254456 TRF IFO NINGBO SICOL DIGITAL PRINTING MEDIA CO. , LTD</t>
  </si>
  <si>
    <t>OMNAP20254456</t>
  </si>
  <si>
    <t>OMNAP20254468;TRF IFO LINYI BRICK MATE MACHINERY CO.,LTD</t>
  </si>
  <si>
    <t>OMNAP20254468</t>
  </si>
  <si>
    <t>OMNAP20254460 ; TRF IFO CORALSTAR LIMITED</t>
  </si>
  <si>
    <t>OMNAP20254460</t>
  </si>
  <si>
    <t>OMNAP20254448; TRF IFO PG  BISON (PTY) LTD</t>
  </si>
  <si>
    <t>OMNAP20254448</t>
  </si>
  <si>
    <t>OMBS/IDC2025192 ; BILLS FOR COLLECTION IFO NGO CHEW HONG EDIBLE OIL PTE LTD</t>
  </si>
  <si>
    <t>OMNAP20254451 ; TRF IFO SHENZHEN WIN-WIN PACKAGING MACHINERY CO. LTD</t>
  </si>
  <si>
    <t>OMNAP20254451</t>
  </si>
  <si>
    <t>OMNAP20254419 TRF IFO ZHONGYUE AUTOMOBILE LIMITED</t>
  </si>
  <si>
    <t>OMNAP20254419</t>
  </si>
  <si>
    <t>OMNAP20254461 ; TRF IFO INTERVISION FOODS</t>
  </si>
  <si>
    <t>OMNAP20254461</t>
  </si>
  <si>
    <t>OMNAP20254453 ; TRF IFO GUANGDONG SUOYI TECHNOLOGY CO ., LTD</t>
  </si>
  <si>
    <t>OMNAP20254453</t>
  </si>
  <si>
    <t>OMBS/IDC2025194 ; BILLS FOR COLLECTION IFO IBERDIGEST S.L</t>
  </si>
  <si>
    <t>OMNAP20254436; TRF IFO FUJIAN YUKUN QIANGWEI MOTORS CO., LTD</t>
  </si>
  <si>
    <t>OMNAP20254436</t>
  </si>
  <si>
    <t>OMNAP20254463; TRF IFO CHINABEST HOME APPLIANCECO.,LTD</t>
  </si>
  <si>
    <t>OMNAP20254455 ; TRF IFO YIWU MENGDI IMPORT AND EXPORT CO .</t>
  </si>
  <si>
    <t>OMNAP20254455</t>
  </si>
  <si>
    <t>OMNOPA20251082; TRF IFO CTO INTERNATIONAL LLC</t>
  </si>
  <si>
    <t>OMNOPA20251082</t>
  </si>
  <si>
    <t>OMNAP20254458; TRF IFO M/S PRG PHARMA PVT.LTD</t>
  </si>
  <si>
    <t>OMNAP20254421 TRF IFO AJC INTERNATIONAL, INC</t>
  </si>
  <si>
    <t>OMNAP20254421</t>
  </si>
  <si>
    <t>OMNAP20254413; TRF IFO NAVSHANTI HK LTD</t>
  </si>
  <si>
    <t>OMNAP20254413</t>
  </si>
  <si>
    <t>FXWI01191125ADB FX SWITCH SALE @10.0150 ADN - LAURUS</t>
  </si>
  <si>
    <t>OMNTR20251868; TRF IFO DR.EBENEZER ONYEAGWU</t>
  </si>
  <si>
    <t>OMNTR20251868</t>
  </si>
  <si>
    <t>OMNAP20254487 ; TRF IFO FS IEXCELLENT FURNITURE CO . LTD</t>
  </si>
  <si>
    <t>OMNAP20254487</t>
  </si>
  <si>
    <t>OMNAP20254449 TRF IFO COMPANIA DE TABACOS DEL MEDITERRANEO SA</t>
  </si>
  <si>
    <t>2532402334705000</t>
  </si>
  <si>
    <t>OMNAP20254492; TRF IFO BE FORWARD CO.LTD</t>
  </si>
  <si>
    <t>OMNAP20254492</t>
  </si>
  <si>
    <t>OMNTR20251854 TRF IFO STELLENBOSCH UNIVERSITY</t>
  </si>
  <si>
    <t>2532402332804000</t>
  </si>
  <si>
    <t>OMNAP20254490; TRF IFO COPART INC MEMBER WIRE ACCOUNT</t>
  </si>
  <si>
    <t>OMNAP20254490</t>
  </si>
  <si>
    <t>OMNTR20251871 TRF IFO NANA E. SAM</t>
  </si>
  <si>
    <t>2532402364886000</t>
  </si>
  <si>
    <t>OMNOPA20251080 TRF IFO HANGZHOU SOLAR PHOTOELECTRICITY CO., LTD</t>
  </si>
  <si>
    <t>2532402354599000</t>
  </si>
  <si>
    <t>OMNTR20251855 TRF IFO ERNEST OPUNI</t>
  </si>
  <si>
    <t>OMNTR20251865; TRF IFO SAHARA GROUP LIMITED</t>
  </si>
  <si>
    <t>OMNTR20251865</t>
  </si>
  <si>
    <t>OMNAP20254485 ; TRF IFO KEY INTERNATIONAL TRADE COMPANY LIMITED</t>
  </si>
  <si>
    <t>OMNAP20254485</t>
  </si>
  <si>
    <t>OMNAP20254498 ; TRF IFO AL AIN NATIONAL JUICE AND REFRESHMENT CO . LLC</t>
  </si>
  <si>
    <t>OMNAP20254498</t>
  </si>
  <si>
    <t>OMNOPA20251077; TRF IFO VITAL SOLUTIONS PTE LTD</t>
  </si>
  <si>
    <t>OMNOPA20251077</t>
  </si>
  <si>
    <t>OMNAP20254484 ; TRF IFO SHANTOU SWEET ROAD INDUSTRY AND TRADING CO., LTD</t>
  </si>
  <si>
    <t>OMNAP20254484</t>
  </si>
  <si>
    <t>OMNAP20254474 TRF IFO HK EASTON INTL CO., LIMITED</t>
  </si>
  <si>
    <t>2532402338904000</t>
  </si>
  <si>
    <t>OMNAP20254445; TRF IFO QUINGDAO FORTERRA GAS CO.</t>
  </si>
  <si>
    <t>OMNAP20254445</t>
  </si>
  <si>
    <t>OMNTR20251876 ; TRF IFO CRAIL FOOS C.V</t>
  </si>
  <si>
    <t>OMNTR20251876</t>
  </si>
  <si>
    <t>OMNAP20254495 ; TRF IFO JINBO AUTO PARTS GROUP NIN</t>
  </si>
  <si>
    <t>2532401366598000</t>
  </si>
  <si>
    <t>OMNAP20254442; TRF IFO CHONG QING KEMA INDUSTRIAL AND TRADING CO.LTD</t>
  </si>
  <si>
    <t>OMNAP20254442</t>
  </si>
  <si>
    <t>OMNAP20254493; TRF IFO TOP POWER MACHINERY CO.,LTD</t>
  </si>
  <si>
    <t>OMNAP20254493</t>
  </si>
  <si>
    <t>OMNOPA20251084 TRF IFO ASIA MART</t>
  </si>
  <si>
    <t>2532402346630000</t>
  </si>
  <si>
    <t>OMNAP20254480 ; TRF IFO TIANJIN HIGH KEY PRINTING INDUSTRIAL LTD</t>
  </si>
  <si>
    <t>2532401355125000</t>
  </si>
  <si>
    <t>OMNOPA20251075 TRF IFO SHANDONG SINO HUIRUI CO., LTD</t>
  </si>
  <si>
    <t>2532402362310000</t>
  </si>
  <si>
    <t>OMNAP20254488 TRF IFO COMBO GLOBAL CONCEPT</t>
  </si>
  <si>
    <t>2532402366316000</t>
  </si>
  <si>
    <t>OMNA20254467; TRF IFO SHENZHEN DEVELOPMENT BANK CO., LTD</t>
  </si>
  <si>
    <t>0MNAP20254467</t>
  </si>
  <si>
    <t>OMNAP20254475 TRF IFO WILSGROW CORPORATION</t>
  </si>
  <si>
    <t>2532402342970000</t>
  </si>
  <si>
    <t>OMNAP20254483 ; TRF IFO DAE DOO INDUSTRY CO., LTD</t>
  </si>
  <si>
    <t>2532401363246000</t>
  </si>
  <si>
    <t>OMNAP20254465 TRF IFO MIR-KAR 2 SPOLKA Z ORGANICZONA ODPOWIEDZIALNOSCIA</t>
  </si>
  <si>
    <t>2532402331879000</t>
  </si>
  <si>
    <t>OMNAP20254471 TRF IFO METRO DELUX GENERAL TRADING LLC BR</t>
  </si>
  <si>
    <t>2532402331425000</t>
  </si>
  <si>
    <t>OMNAP20254466; TRF IFO YIWU TOPTOWN TRADE CO., LTD</t>
  </si>
  <si>
    <t>OMNAP20254466</t>
  </si>
  <si>
    <t>OMNTR20251845; TRF IFO  LEXICON HOLDINGS INC</t>
  </si>
  <si>
    <t>OMNTR20251845</t>
  </si>
  <si>
    <t>OMNAP20254478; TRF IFO YIWU SUNTOP CO., LTD</t>
  </si>
  <si>
    <t>OMNAP20254478</t>
  </si>
  <si>
    <t>OMNAP20254476; TRF IFO JUNDA MACHINERY(HK)LIMITED</t>
  </si>
  <si>
    <t>OMNAP20254476</t>
  </si>
  <si>
    <t>OMNOPA20251087; TRF IFO MEGA  CROPSCIENCE (HK) LIMITED</t>
  </si>
  <si>
    <t>OMNOPA20251087</t>
  </si>
  <si>
    <t>OMNAP20254464; TRF IFO WOCAT SPOM GROUP MINERAL TECHCO.,LTD</t>
  </si>
  <si>
    <t>OMNAP20254464</t>
  </si>
  <si>
    <t>OMNAP20254486 ; TRF IFO WAHA ALRAS TRADING LLC</t>
  </si>
  <si>
    <t>OMNAP20254486</t>
  </si>
  <si>
    <t>OMNOPA20251093; TRF IFO FUELTRADE LIMITED</t>
  </si>
  <si>
    <t>OMNOPA20251093</t>
  </si>
  <si>
    <t>^6010158915</t>
  </si>
  <si>
    <t>ZENITH BANK CEDI</t>
  </si>
  <si>
    <t>0010000140018</t>
  </si>
  <si>
    <t>ADD: DEBIT IN OUR BOOKS BUT NOT CREDITED BY ZENITH</t>
  </si>
  <si>
    <t>ADD: DEBIT ORIGINATED BY ZENITH BUT NOT CREDITED IN OUR BOOKS</t>
  </si>
  <si>
    <t>LESS: CREDIT ORIGINATED BY ZENITH BUT NOT DEBITED IN OUR BOOKS</t>
  </si>
  <si>
    <t xml:space="preserve">        19 NOVEMBER                2025/MG GHS</t>
  </si>
  <si>
    <t>LESS: CREDIT IN OUR BOOKS BUT NOT DEBITED BY ZENITH</t>
  </si>
  <si>
    <t>^CA6010120705/CD1060101229/6010503159</t>
  </si>
  <si>
    <t>ZENITH BANK OPS CEDI</t>
  </si>
  <si>
    <t>0010000140020</t>
  </si>
  <si>
    <t>'SA 6040140186</t>
  </si>
  <si>
    <t>ZENITH BANK USD</t>
  </si>
  <si>
    <t>0020000140017</t>
  </si>
  <si>
    <t xml:space="preserve">    MG SETT/SUB AGENT USD DUE/19</t>
  </si>
  <si>
    <t>GH100017</t>
  </si>
  <si>
    <t>BOG -ACCRA- PAPSS</t>
  </si>
  <si>
    <t>0010000090024</t>
  </si>
  <si>
    <t>Allowance to mother</t>
  </si>
  <si>
    <t>7679014267440990</t>
  </si>
  <si>
    <t>Ebenezer Frimpong</t>
  </si>
  <si>
    <t>Bank Reconciliation Summary</t>
  </si>
  <si>
    <t>DATE</t>
  </si>
  <si>
    <t>%rDATE%</t>
  </si>
  <si>
    <t>S/N</t>
  </si>
  <si>
    <t>NOSTRO/NAME</t>
  </si>
  <si>
    <t>CCY</t>
  </si>
  <si>
    <t>GL BALANCE</t>
  </si>
  <si>
    <t>BANK BALANCE</t>
  </si>
  <si>
    <t>VARIANCE</t>
  </si>
  <si>
    <t>STATUS</t>
  </si>
  <si>
    <t>BOG</t>
  </si>
  <si>
    <t>GHS</t>
  </si>
  <si>
    <t>USD</t>
  </si>
  <si>
    <t>EUR</t>
  </si>
  <si>
    <t>GBP</t>
  </si>
  <si>
    <t>BOG PAPSS</t>
  </si>
  <si>
    <t>BOG TAMALE</t>
  </si>
  <si>
    <t>BOG TLE GHS</t>
  </si>
  <si>
    <t>BOG TLE USD</t>
  </si>
  <si>
    <t>BOG TLE EUR</t>
  </si>
  <si>
    <t>BOG SUNYANI</t>
  </si>
  <si>
    <t>BOG SYI GHS</t>
  </si>
  <si>
    <t>BOG SYI USD</t>
  </si>
  <si>
    <t>BOG KUMASI</t>
  </si>
  <si>
    <t>BOG KSI GHS</t>
  </si>
  <si>
    <t>BOG KSI USD</t>
  </si>
  <si>
    <t>BOG KSI EUR</t>
  </si>
  <si>
    <t>BOG KSI GBP</t>
  </si>
  <si>
    <t>BOG TAKORADI</t>
  </si>
  <si>
    <t>BOG TDI GHS</t>
  </si>
  <si>
    <t>BOG TDI USD</t>
  </si>
  <si>
    <t>BOG TDI EUR</t>
  </si>
  <si>
    <t>BOG TDI GBP</t>
  </si>
  <si>
    <t>GHIB</t>
  </si>
  <si>
    <t>GHANA INT BANK USD</t>
  </si>
  <si>
    <t>GHANA INT BANK EUR</t>
  </si>
  <si>
    <t>GHANA INT BANK GBP</t>
  </si>
  <si>
    <t>SAB</t>
  </si>
  <si>
    <t>BANCO DESABADELL</t>
  </si>
  <si>
    <t>BRB</t>
  </si>
  <si>
    <t>BANK OF BERUIT USD</t>
  </si>
  <si>
    <t>BANK OF BERUIT EUR</t>
  </si>
  <si>
    <t>BANK OF BERUIT GBP</t>
  </si>
  <si>
    <t>AKTIF</t>
  </si>
  <si>
    <t>AFRIEXIM</t>
  </si>
  <si>
    <t>UBA NY</t>
  </si>
  <si>
    <t>UBA NY USD</t>
  </si>
  <si>
    <t>UBA NY EUR</t>
  </si>
  <si>
    <t>UBA NY GBP</t>
  </si>
  <si>
    <t>ZB</t>
  </si>
  <si>
    <t>ZENITH OPS</t>
  </si>
  <si>
    <t>ZENITH USD</t>
  </si>
  <si>
    <t>ZENITH GHS</t>
  </si>
  <si>
    <t>EBG</t>
  </si>
  <si>
    <t>GCB 2 &amp; 3</t>
  </si>
  <si>
    <t>ATB</t>
  </si>
  <si>
    <t>ARAB TURKISH USD</t>
  </si>
  <si>
    <t>ARAB TURKISH EUR</t>
  </si>
  <si>
    <t>CDV</t>
  </si>
  <si>
    <t>COTE D'VOIRE XOF</t>
  </si>
  <si>
    <t>XOF</t>
  </si>
  <si>
    <t>ML</t>
  </si>
  <si>
    <t>MALI XOF</t>
  </si>
  <si>
    <t>SG</t>
  </si>
  <si>
    <t>SENEGAL XOF</t>
  </si>
  <si>
    <t>SD</t>
  </si>
  <si>
    <t>SUDAN USD</t>
  </si>
  <si>
    <t>BN</t>
  </si>
  <si>
    <t>BENIN XOF</t>
  </si>
  <si>
    <t>HO</t>
  </si>
  <si>
    <t>HEAD OFFICE USD</t>
  </si>
  <si>
    <t>HEAD OFFICE EUR</t>
  </si>
  <si>
    <t>TG</t>
  </si>
  <si>
    <t>TOGO XOF</t>
  </si>
  <si>
    <t>TOTAL</t>
  </si>
  <si>
    <t>CONSOLIDATED CHECK</t>
  </si>
  <si>
    <t>DESCRIPTION</t>
  </si>
  <si>
    <t>G/L BALANCES</t>
  </si>
  <si>
    <t>B/S BALANCES</t>
  </si>
  <si>
    <t>VARIANCE (GHS EQUIVALENT)</t>
  </si>
  <si>
    <t>1</t>
  </si>
  <si>
    <t>2</t>
  </si>
  <si>
    <t>3</t>
  </si>
  <si>
    <t>4</t>
  </si>
  <si>
    <t>5</t>
  </si>
  <si>
    <t>Currency</t>
  </si>
  <si>
    <t>Rate On Portal</t>
  </si>
  <si>
    <t>Rate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</si>
</sst>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8" formatCode="_(* #,##0.00000_);_(* \(#,##0.00000\);_(* &quot;-&quot;??_);_(@_)"/>
  </numFmts>
  <fonts count="6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6"/>
      <color indexed="9"/>
      <name val="Calibri"/>
      <family val="2"/>
    </font>
    <font>
      <b/>
      <sz val="14"/>
      <name val="Calibri"/>
      <family val="2"/>
    </font>
    <font>
      <b/>
      <sz val="18"/>
      <color indexed="9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sz val="11"/>
      <name val="Calibri"/>
    </font>
    <font>
      <sz val="11"/>
      <name val="Calibri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</fonts>
  <fills count="112">
    <fill>
      <patternFill patternType="none"/>
    </fill>
    <fill>
      <patternFill patternType="gray125"/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solid">
        <fgColor rgb="FF000066"/>
        <bgColor indexed="64"/>
      </patternFill>
    </fill>
    <fill>
      <patternFill patternType="none"/>
    </fill>
    <fill>
      <patternFill patternType="solid">
        <fgColor rgb="FFD2E3F3"/>
      </patternFill>
    </fill>
    <fill>
      <patternFill patternType="none"/>
    </fill>
    <fill>
      <patternFill patternType="solid">
        <fgColor rgb="FFD2E3F3"/>
      </patternFill>
    </fill>
    <fill>
      <patternFill patternType="solid">
        <fgColor rgb="FFFFBF80"/>
        <bgColor indexed="64"/>
      </patternFill>
    </fill>
    <fill>
      <patternFill patternType="solid">
        <fgColor rgb="FF001A33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66B3FF"/>
        <bgColor indexed="64"/>
      </patternFill>
    </fill>
    <fill>
      <patternFill patternType="solid">
        <fgColor rgb="FF99EEFF"/>
        <bgColor indexed="64"/>
      </patternFill>
    </fill>
    <fill>
      <patternFill patternType="solid">
        <fgColor rgb="FFFF4D4D"/>
        <bgColor indexed="64"/>
      </patternFill>
    </fill>
    <fill>
      <patternFill patternType="solid">
        <fgColor rgb="FFFFE6B3"/>
        <bgColor indexed="64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</borders>
  <cellStyleXfs count="1">
    <xf numFmtId="0" fontId="0" fillId="0" borderId="0"/>
  </cellStyleXfs>
  <cellXfs count="2180">
    <xf numFmtId="0" fontId="0" fillId="0" borderId="0" xfId="0"/>
    <xf numFmtId="0" fontId="53" fillId="96" borderId="48" xfId="0" applyFont="1" applyFill="1" applyBorder="1" applyAlignment="1">
      <alignment horizontal="center" vertical="center"/>
    </xf>
    <xf numFmtId="0" fontId="51" fillId="96" borderId="48" xfId="0" applyFont="1" applyFill="1" applyBorder="1" applyAlignment="1">
      <alignment horizontal="center"/>
    </xf>
    <xf numFmtId="0" fontId="1" fillId="2" borderId="59" xfId="0" applyFont="1" applyFill="1" applyBorder="1"/>
    <xf numFmtId="0" fontId="1" fillId="2" borderId="55" xfId="0" applyNumberFormat="1" applyFont="1" applyFill="1" applyBorder="1"/>
    <xf numFmtId="0" fontId="54" fillId="2" borderId="55" xfId="0" applyFont="1" applyFill="1" applyBorder="1"/>
    <xf numFmtId="0" fontId="1" fillId="2" borderId="54" xfId="0" applyNumberFormat="1" applyFont="1" applyFill="1" applyBorder="1" applyAlignment="1">
      <alignment horizontal="center"/>
    </xf>
    <xf numFmtId="0" fontId="1" fillId="2" borderId="58" xfId="0" applyFont="1" applyFill="1" applyBorder="1"/>
    <xf numFmtId="0" fontId="1" fillId="2" borderId="57" xfId="0" applyNumberFormat="1" applyFont="1" applyFill="1" applyBorder="1" applyAlignment="1">
      <alignment horizontal="center"/>
    </xf>
    <xf numFmtId="0" fontId="54" fillId="2" borderId="52" xfId="0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/>
    <xf numFmtId="0" fontId="1" fillId="2" borderId="56" xfId="0" applyFont="1" applyFill="1" applyBorder="1"/>
    <xf numFmtId="0" fontId="1" fillId="2" borderId="55" xfId="0" applyFont="1" applyFill="1" applyBorder="1"/>
    <xf numFmtId="0" fontId="1" fillId="2" borderId="54" xfId="0" applyFont="1" applyFill="1" applyBorder="1"/>
    <xf numFmtId="0" fontId="1" fillId="2" borderId="53" xfId="0" applyFont="1" applyFill="1" applyBorder="1"/>
    <xf numFmtId="0" fontId="1" fillId="2" borderId="52" xfId="0" applyFont="1" applyFill="1" applyBorder="1"/>
    <xf numFmtId="0" fontId="1" fillId="2" borderId="51" xfId="0" applyFont="1" applyFill="1" applyBorder="1"/>
    <xf numFmtId="0" fontId="1" fillId="2" borderId="50" xfId="0" applyFont="1" applyFill="1" applyBorder="1" applyAlignment="1">
      <alignment horizontal="center"/>
    </xf>
    <xf numFmtId="0" fontId="1" fillId="2" borderId="50" xfId="0" applyFont="1" applyFill="1" applyBorder="1"/>
    <xf numFmtId="0" fontId="52" fillId="100" borderId="48" xfId="0" applyFont="1" applyFill="1" applyBorder="1"/>
    <xf numFmtId="0" fontId="48" fillId="100" borderId="48" xfId="0" applyFont="1" applyFill="1" applyBorder="1"/>
    <xf numFmtId="0" fontId="50" fillId="100" borderId="48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4" borderId="2" xfId="0" applyFont="1" applyFill="1" applyBorder="1"/>
    <xf numFmtId="4" fontId="2" fillId="4" borderId="2" xfId="0" applyNumberFormat="1" applyFont="1" applyFill="1" applyBorder="1"/>
    <xf numFmtId="0" fontId="2" fillId="5" borderId="2" xfId="0" applyFont="1" applyFill="1" applyBorder="1"/>
    <xf numFmtId="0" fontId="3" fillId="6" borderId="3" xfId="0" applyFont="1" applyFill="1" applyBorder="1"/>
    <xf numFmtId="4" fontId="3" fillId="6" borderId="3" xfId="0" applyNumberFormat="1" applyFont="1" applyFill="1" applyBorder="1"/>
    <xf numFmtId="0" fontId="3" fillId="7" borderId="3" xfId="0" applyFont="1" applyFill="1" applyBorder="1"/>
    <xf numFmtId="0" fontId="4" fillId="8" borderId="4" xfId="0" applyFont="1" applyFill="1" applyBorder="1"/>
    <xf numFmtId="4" fontId="4" fillId="8" borderId="4" xfId="0" applyNumberFormat="1" applyFont="1" applyFill="1" applyBorder="1"/>
    <xf numFmtId="0" fontId="4" fillId="9" borderId="4" xfId="0" applyFont="1" applyFill="1" applyBorder="1"/>
    <xf numFmtId="0" fontId="5" fillId="10" borderId="5" xfId="0" applyFont="1" applyFill="1" applyBorder="1"/>
    <xf numFmtId="4" fontId="5" fillId="10" borderId="5" xfId="0" applyNumberFormat="1" applyFont="1" applyFill="1" applyBorder="1"/>
    <xf numFmtId="0" fontId="5" fillId="11" borderId="5" xfId="0" applyFont="1" applyFill="1" applyBorder="1"/>
    <xf numFmtId="0" fontId="6" fillId="12" borderId="6" xfId="0" applyFont="1" applyFill="1" applyBorder="1"/>
    <xf numFmtId="4" fontId="6" fillId="12" borderId="6" xfId="0" applyNumberFormat="1" applyFont="1" applyFill="1" applyBorder="1"/>
    <xf numFmtId="0" fontId="6" fillId="13" borderId="6" xfId="0" applyFont="1" applyFill="1" applyBorder="1"/>
    <xf numFmtId="0" fontId="7" fillId="14" borderId="7" xfId="0" applyFont="1" applyFill="1" applyBorder="1"/>
    <xf numFmtId="4" fontId="7" fillId="14" borderId="7" xfId="0" applyNumberFormat="1" applyFont="1" applyFill="1" applyBorder="1"/>
    <xf numFmtId="0" fontId="7" fillId="15" borderId="7" xfId="0" applyFont="1" applyFill="1" applyBorder="1"/>
    <xf numFmtId="0" fontId="8" fillId="16" borderId="8" xfId="0" applyFont="1" applyFill="1" applyBorder="1"/>
    <xf numFmtId="4" fontId="8" fillId="16" borderId="8" xfId="0" applyNumberFormat="1" applyFont="1" applyFill="1" applyBorder="1"/>
    <xf numFmtId="0" fontId="8" fillId="17" borderId="8" xfId="0" applyFont="1" applyFill="1" applyBorder="1"/>
    <xf numFmtId="0" fontId="9" fillId="18" borderId="9" xfId="0" applyFont="1" applyFill="1" applyBorder="1"/>
    <xf numFmtId="4" fontId="9" fillId="18" borderId="9" xfId="0" applyNumberFormat="1" applyFont="1" applyFill="1" applyBorder="1"/>
    <xf numFmtId="0" fontId="9" fillId="19" borderId="9" xfId="0" applyFont="1" applyFill="1" applyBorder="1"/>
    <xf numFmtId="0" fontId="10" fillId="20" borderId="10" xfId="0" applyFont="1" applyFill="1" applyBorder="1"/>
    <xf numFmtId="4" fontId="10" fillId="20" borderId="10" xfId="0" applyNumberFormat="1" applyFont="1" applyFill="1" applyBorder="1"/>
    <xf numFmtId="0" fontId="10" fillId="21" borderId="10" xfId="0" applyFont="1" applyFill="1" applyBorder="1"/>
    <xf numFmtId="0" fontId="11" fillId="22" borderId="11" xfId="0" applyFont="1" applyFill="1" applyBorder="1"/>
    <xf numFmtId="4" fontId="11" fillId="22" borderId="11" xfId="0" applyNumberFormat="1" applyFont="1" applyFill="1" applyBorder="1"/>
    <xf numFmtId="0" fontId="11" fillId="23" borderId="11" xfId="0" applyFont="1" applyFill="1" applyBorder="1"/>
    <xf numFmtId="0" fontId="12" fillId="24" borderId="12" xfId="0" applyFont="1" applyFill="1" applyBorder="1"/>
    <xf numFmtId="4" fontId="12" fillId="24" borderId="12" xfId="0" applyNumberFormat="1" applyFont="1" applyFill="1" applyBorder="1"/>
    <xf numFmtId="0" fontId="12" fillId="25" borderId="12" xfId="0" applyFont="1" applyFill="1" applyBorder="1"/>
    <xf numFmtId="0" fontId="13" fillId="26" borderId="13" xfId="0" applyFont="1" applyFill="1" applyBorder="1"/>
    <xf numFmtId="4" fontId="13" fillId="26" borderId="13" xfId="0" applyNumberFormat="1" applyFont="1" applyFill="1" applyBorder="1"/>
    <xf numFmtId="0" fontId="13" fillId="27" borderId="13" xfId="0" applyFont="1" applyFill="1" applyBorder="1"/>
    <xf numFmtId="0" fontId="14" fillId="28" borderId="14" xfId="0" applyFont="1" applyFill="1" applyBorder="1"/>
    <xf numFmtId="4" fontId="14" fillId="28" borderId="14" xfId="0" applyNumberFormat="1" applyFont="1" applyFill="1" applyBorder="1"/>
    <xf numFmtId="0" fontId="14" fillId="29" borderId="14" xfId="0" applyFont="1" applyFill="1" applyBorder="1"/>
    <xf numFmtId="0" fontId="15" fillId="30" borderId="15" xfId="0" applyFont="1" applyFill="1" applyBorder="1"/>
    <xf numFmtId="4" fontId="15" fillId="30" borderId="15" xfId="0" applyNumberFormat="1" applyFont="1" applyFill="1" applyBorder="1"/>
    <xf numFmtId="0" fontId="15" fillId="31" borderId="15" xfId="0" applyFont="1" applyFill="1" applyBorder="1"/>
    <xf numFmtId="0" fontId="16" fillId="32" borderId="16" xfId="0" applyFont="1" applyFill="1" applyBorder="1"/>
    <xf numFmtId="4" fontId="16" fillId="32" borderId="16" xfId="0" applyNumberFormat="1" applyFont="1" applyFill="1" applyBorder="1"/>
    <xf numFmtId="0" fontId="16" fillId="33" borderId="16" xfId="0" applyFont="1" applyFill="1" applyBorder="1"/>
    <xf numFmtId="0" fontId="17" fillId="34" borderId="17" xfId="0" applyFont="1" applyFill="1" applyBorder="1"/>
    <xf numFmtId="4" fontId="17" fillId="34" borderId="17" xfId="0" applyNumberFormat="1" applyFont="1" applyFill="1" applyBorder="1"/>
    <xf numFmtId="0" fontId="17" fillId="35" borderId="17" xfId="0" applyFont="1" applyFill="1" applyBorder="1"/>
    <xf numFmtId="0" fontId="18" fillId="36" borderId="18" xfId="0" applyFont="1" applyFill="1" applyBorder="1"/>
    <xf numFmtId="4" fontId="18" fillId="36" borderId="18" xfId="0" applyNumberFormat="1" applyFont="1" applyFill="1" applyBorder="1"/>
    <xf numFmtId="0" fontId="18" fillId="37" borderId="18" xfId="0" applyFont="1" applyFill="1" applyBorder="1"/>
    <xf numFmtId="0" fontId="19" fillId="38" borderId="19" xfId="0" applyFont="1" applyFill="1" applyBorder="1"/>
    <xf numFmtId="4" fontId="19" fillId="38" borderId="19" xfId="0" applyNumberFormat="1" applyFont="1" applyFill="1" applyBorder="1"/>
    <xf numFmtId="0" fontId="19" fillId="39" borderId="19" xfId="0" applyFont="1" applyFill="1" applyBorder="1"/>
    <xf numFmtId="0" fontId="20" fillId="40" borderId="20" xfId="0" applyFont="1" applyFill="1" applyBorder="1"/>
    <xf numFmtId="4" fontId="20" fillId="40" borderId="20" xfId="0" applyNumberFormat="1" applyFont="1" applyFill="1" applyBorder="1"/>
    <xf numFmtId="0" fontId="20" fillId="41" borderId="20" xfId="0" applyFont="1" applyFill="1" applyBorder="1"/>
    <xf numFmtId="0" fontId="21" fillId="42" borderId="21" xfId="0" applyFont="1" applyFill="1" applyBorder="1"/>
    <xf numFmtId="4" fontId="21" fillId="42" borderId="21" xfId="0" applyNumberFormat="1" applyFont="1" applyFill="1" applyBorder="1"/>
    <xf numFmtId="0" fontId="21" fillId="43" borderId="21" xfId="0" applyFont="1" applyFill="1" applyBorder="1"/>
    <xf numFmtId="0" fontId="22" fillId="44" borderId="22" xfId="0" applyFont="1" applyFill="1" applyBorder="1"/>
    <xf numFmtId="4" fontId="22" fillId="44" borderId="22" xfId="0" applyNumberFormat="1" applyFont="1" applyFill="1" applyBorder="1"/>
    <xf numFmtId="0" fontId="22" fillId="45" borderId="22" xfId="0" applyFont="1" applyFill="1" applyBorder="1"/>
    <xf numFmtId="0" fontId="23" fillId="46" borderId="23" xfId="0" applyFont="1" applyFill="1" applyBorder="1"/>
    <xf numFmtId="4" fontId="23" fillId="46" borderId="23" xfId="0" applyNumberFormat="1" applyFont="1" applyFill="1" applyBorder="1"/>
    <xf numFmtId="0" fontId="23" fillId="47" borderId="23" xfId="0" applyFont="1" applyFill="1" applyBorder="1"/>
    <xf numFmtId="0" fontId="24" fillId="48" borderId="24" xfId="0" applyFont="1" applyFill="1" applyBorder="1"/>
    <xf numFmtId="4" fontId="24" fillId="48" borderId="24" xfId="0" applyNumberFormat="1" applyFont="1" applyFill="1" applyBorder="1"/>
    <xf numFmtId="0" fontId="24" fillId="49" borderId="24" xfId="0" applyFont="1" applyFill="1" applyBorder="1"/>
    <xf numFmtId="0" fontId="25" fillId="50" borderId="25" xfId="0" applyFont="1" applyFill="1" applyBorder="1"/>
    <xf numFmtId="4" fontId="25" fillId="50" borderId="25" xfId="0" applyNumberFormat="1" applyFont="1" applyFill="1" applyBorder="1"/>
    <xf numFmtId="0" fontId="25" fillId="51" borderId="25" xfId="0" applyFont="1" applyFill="1" applyBorder="1"/>
    <xf numFmtId="0" fontId="26" fillId="52" borderId="26" xfId="0" applyFont="1" applyFill="1" applyBorder="1"/>
    <xf numFmtId="4" fontId="26" fillId="52" borderId="26" xfId="0" applyNumberFormat="1" applyFont="1" applyFill="1" applyBorder="1"/>
    <xf numFmtId="0" fontId="26" fillId="53" borderId="26" xfId="0" applyFont="1" applyFill="1" applyBorder="1"/>
    <xf numFmtId="0" fontId="27" fillId="54" borderId="27" xfId="0" applyFont="1" applyFill="1" applyBorder="1"/>
    <xf numFmtId="4" fontId="27" fillId="54" borderId="27" xfId="0" applyNumberFormat="1" applyFont="1" applyFill="1" applyBorder="1"/>
    <xf numFmtId="0" fontId="27" fillId="55" borderId="27" xfId="0" applyFont="1" applyFill="1" applyBorder="1"/>
    <xf numFmtId="0" fontId="28" fillId="56" borderId="28" xfId="0" applyFont="1" applyFill="1" applyBorder="1"/>
    <xf numFmtId="4" fontId="28" fillId="56" borderId="28" xfId="0" applyNumberFormat="1" applyFont="1" applyFill="1" applyBorder="1"/>
    <xf numFmtId="0" fontId="28" fillId="57" borderId="28" xfId="0" applyFont="1" applyFill="1" applyBorder="1"/>
    <xf numFmtId="0" fontId="29" fillId="58" borderId="29" xfId="0" applyFont="1" applyFill="1" applyBorder="1"/>
    <xf numFmtId="4" fontId="29" fillId="58" borderId="29" xfId="0" applyNumberFormat="1" applyFont="1" applyFill="1" applyBorder="1"/>
    <xf numFmtId="0" fontId="29" fillId="59" borderId="29" xfId="0" applyFont="1" applyFill="1" applyBorder="1"/>
    <xf numFmtId="0" fontId="30" fillId="60" borderId="30" xfId="0" applyFont="1" applyFill="1" applyBorder="1"/>
    <xf numFmtId="4" fontId="30" fillId="60" borderId="30" xfId="0" applyNumberFormat="1" applyFont="1" applyFill="1" applyBorder="1"/>
    <xf numFmtId="0" fontId="30" fillId="61" borderId="30" xfId="0" applyFont="1" applyFill="1" applyBorder="1"/>
    <xf numFmtId="0" fontId="31" fillId="62" borderId="31" xfId="0" applyFont="1" applyFill="1" applyBorder="1"/>
    <xf numFmtId="4" fontId="31" fillId="62" borderId="31" xfId="0" applyNumberFormat="1" applyFont="1" applyFill="1" applyBorder="1"/>
    <xf numFmtId="0" fontId="31" fillId="63" borderId="31" xfId="0" applyFont="1" applyFill="1" applyBorder="1"/>
    <xf numFmtId="0" fontId="32" fillId="64" borderId="32" xfId="0" applyFont="1" applyFill="1" applyBorder="1"/>
    <xf numFmtId="4" fontId="32" fillId="64" borderId="32" xfId="0" applyNumberFormat="1" applyFont="1" applyFill="1" applyBorder="1"/>
    <xf numFmtId="0" fontId="32" fillId="65" borderId="32" xfId="0" applyFont="1" applyFill="1" applyBorder="1"/>
    <xf numFmtId="0" fontId="33" fillId="66" borderId="33" xfId="0" applyFont="1" applyFill="1" applyBorder="1"/>
    <xf numFmtId="4" fontId="33" fillId="66" borderId="33" xfId="0" applyNumberFormat="1" applyFont="1" applyFill="1" applyBorder="1"/>
    <xf numFmtId="0" fontId="33" fillId="67" borderId="33" xfId="0" applyFont="1" applyFill="1" applyBorder="1"/>
    <xf numFmtId="0" fontId="34" fillId="68" borderId="34" xfId="0" applyFont="1" applyFill="1" applyBorder="1"/>
    <xf numFmtId="4" fontId="34" fillId="68" borderId="34" xfId="0" applyNumberFormat="1" applyFont="1" applyFill="1" applyBorder="1"/>
    <xf numFmtId="0" fontId="34" fillId="69" borderId="34" xfId="0" applyFont="1" applyFill="1" applyBorder="1"/>
    <xf numFmtId="0" fontId="35" fillId="70" borderId="35" xfId="0" applyFont="1" applyFill="1" applyBorder="1"/>
    <xf numFmtId="4" fontId="35" fillId="70" borderId="35" xfId="0" applyNumberFormat="1" applyFont="1" applyFill="1" applyBorder="1"/>
    <xf numFmtId="0" fontId="35" fillId="71" borderId="35" xfId="0" applyFont="1" applyFill="1" applyBorder="1"/>
    <xf numFmtId="0" fontId="36" fillId="72" borderId="36" xfId="0" applyFont="1" applyFill="1" applyBorder="1"/>
    <xf numFmtId="4" fontId="36" fillId="72" borderId="36" xfId="0" applyNumberFormat="1" applyFont="1" applyFill="1" applyBorder="1"/>
    <xf numFmtId="0" fontId="36" fillId="73" borderId="36" xfId="0" applyFont="1" applyFill="1" applyBorder="1"/>
    <xf numFmtId="0" fontId="37" fillId="74" borderId="37" xfId="0" applyFont="1" applyFill="1" applyBorder="1"/>
    <xf numFmtId="4" fontId="37" fillId="74" borderId="37" xfId="0" applyNumberFormat="1" applyFont="1" applyFill="1" applyBorder="1"/>
    <xf numFmtId="0" fontId="37" fillId="75" borderId="37" xfId="0" applyFont="1" applyFill="1" applyBorder="1"/>
    <xf numFmtId="0" fontId="38" fillId="76" borderId="38" xfId="0" applyFont="1" applyFill="1" applyBorder="1"/>
    <xf numFmtId="4" fontId="38" fillId="76" borderId="38" xfId="0" applyNumberFormat="1" applyFont="1" applyFill="1" applyBorder="1"/>
    <xf numFmtId="0" fontId="38" fillId="77" borderId="38" xfId="0" applyFont="1" applyFill="1" applyBorder="1"/>
    <xf numFmtId="0" fontId="39" fillId="78" borderId="39" xfId="0" applyFont="1" applyFill="1" applyBorder="1"/>
    <xf numFmtId="4" fontId="39" fillId="78" borderId="39" xfId="0" applyNumberFormat="1" applyFont="1" applyFill="1" applyBorder="1"/>
    <xf numFmtId="0" fontId="39" fillId="79" borderId="39" xfId="0" applyFont="1" applyFill="1" applyBorder="1"/>
    <xf numFmtId="0" fontId="40" fillId="80" borderId="40" xfId="0" applyFont="1" applyFill="1" applyBorder="1"/>
    <xf numFmtId="4" fontId="40" fillId="80" borderId="40" xfId="0" applyNumberFormat="1" applyFont="1" applyFill="1" applyBorder="1"/>
    <xf numFmtId="0" fontId="40" fillId="81" borderId="40" xfId="0" applyFont="1" applyFill="1" applyBorder="1"/>
    <xf numFmtId="0" fontId="41" fillId="82" borderId="41" xfId="0" applyFont="1" applyFill="1" applyBorder="1"/>
    <xf numFmtId="4" fontId="41" fillId="82" borderId="41" xfId="0" applyNumberFormat="1" applyFont="1" applyFill="1" applyBorder="1"/>
    <xf numFmtId="0" fontId="41" fillId="83" borderId="41" xfId="0" applyFont="1" applyFill="1" applyBorder="1"/>
    <xf numFmtId="0" fontId="42" fillId="84" borderId="42" xfId="0" applyFont="1" applyFill="1" applyBorder="1"/>
    <xf numFmtId="4" fontId="42" fillId="84" borderId="42" xfId="0" applyNumberFormat="1" applyFont="1" applyFill="1" applyBorder="1"/>
    <xf numFmtId="0" fontId="42" fillId="85" borderId="42" xfId="0" applyFont="1" applyFill="1" applyBorder="1"/>
    <xf numFmtId="0" fontId="43" fillId="86" borderId="43" xfId="0" applyFont="1" applyFill="1" applyBorder="1"/>
    <xf numFmtId="4" fontId="43" fillId="86" borderId="43" xfId="0" applyNumberFormat="1" applyFont="1" applyFill="1" applyBorder="1"/>
    <xf numFmtId="0" fontId="43" fillId="87" borderId="43" xfId="0" applyFont="1" applyFill="1" applyBorder="1"/>
    <xf numFmtId="0" fontId="44" fillId="88" borderId="44" xfId="0" applyFont="1" applyFill="1" applyBorder="1"/>
    <xf numFmtId="4" fontId="44" fillId="88" borderId="44" xfId="0" applyNumberFormat="1" applyFont="1" applyFill="1" applyBorder="1"/>
    <xf numFmtId="0" fontId="44" fillId="89" borderId="44" xfId="0" applyFont="1" applyFill="1" applyBorder="1"/>
    <xf numFmtId="0" fontId="45" fillId="90" borderId="45" xfId="0" applyFont="1" applyFill="1" applyBorder="1"/>
    <xf numFmtId="4" fontId="45" fillId="90" borderId="45" xfId="0" applyNumberFormat="1" applyFont="1" applyFill="1" applyBorder="1"/>
    <xf numFmtId="0" fontId="45" fillId="91" borderId="45" xfId="0" applyFont="1" applyFill="1" applyBorder="1"/>
    <xf numFmtId="0" fontId="46" fillId="92" borderId="46" xfId="0" applyFont="1" applyFill="1" applyBorder="1"/>
    <xf numFmtId="4" fontId="46" fillId="92" borderId="46" xfId="0" applyNumberFormat="1" applyFont="1" applyFill="1" applyBorder="1"/>
    <xf numFmtId="0" fontId="46" fillId="93" borderId="46" xfId="0" applyFont="1" applyFill="1" applyBorder="1"/>
    <xf numFmtId="0" fontId="47" fillId="94" borderId="47" xfId="0" applyFont="1" applyFill="1" applyBorder="1"/>
    <xf numFmtId="4" fontId="47" fillId="94" borderId="47" xfId="0" applyNumberFormat="1" applyFont="1" applyFill="1" applyBorder="1"/>
    <xf numFmtId="0" fontId="47" fillId="95" borderId="47" xfId="0" applyFont="1" applyFill="1" applyBorder="1"/>
    <xf numFmtId="0" fontId="48" fillId="96" borderId="48" xfId="0" applyFont="1" applyFill="1" applyBorder="1"/>
    <xf numFmtId="0" fontId="48" fillId="97" borderId="48" xfId="0" applyFont="1" applyFill="1" applyBorder="1"/>
    <xf numFmtId="0" fontId="49" fillId="98" borderId="49" xfId="0" applyFont="1" applyFill="1" applyBorder="1"/>
    <xf numFmtId="4" fontId="49" fillId="98" borderId="49" xfId="0" applyNumberFormat="1" applyFont="1" applyFill="1" applyBorder="1"/>
    <xf numFmtId="0" fontId="49" fillId="99" borderId="49" xfId="0" applyFont="1" applyFill="1" applyBorder="1"/>
    <xf numFmtId="0" fontId="1" fillId="2" borderId="60" xfId="0" applyNumberFormat="1" applyFont="1" applyFill="1" applyBorder="1" applyAlignment="1">
      <alignment horizontal="center"/>
    </xf>
    <xf numFmtId="0" fontId="1" fillId="2" borderId="61" xfId="0" applyNumberFormat="1" applyFont="1" applyFill="1" applyBorder="1" applyAlignment="1">
      <alignment horizontal="center"/>
    </xf>
    <xf numFmtId="0" fontId="1" fillId="2" borderId="60" xfId="0" applyFont="1" applyFill="1" applyBorder="1"/>
    <xf numFmtId="0" fontId="1" fillId="2" borderId="61" xfId="0" applyFont="1" applyFill="1" applyBorder="1"/>
    <xf numFmtId="0" fontId="54" fillId="2" borderId="59" xfId="0" applyFont="1" applyFill="1" applyBorder="1"/>
    <xf numFmtId="0" fontId="54" fillId="2" borderId="61" xfId="0" applyFont="1" applyFill="1" applyBorder="1"/>
    <xf numFmtId="0" fontId="1" fillId="2" borderId="60" xfId="0" applyNumberFormat="1" applyFont="1" applyFill="1" applyBorder="1"/>
    <xf numFmtId="0" fontId="1" fillId="2" borderId="61" xfId="0" applyNumberFormat="1" applyFont="1" applyFill="1" applyBorder="1"/>
    <xf numFmtId="0" fontId="1" fillId="2" borderId="51" xfId="0" applyNumberFormat="1" applyFont="1" applyFill="1" applyBorder="1" applyAlignment="1">
      <alignment horizontal="center"/>
    </xf>
    <xf numFmtId="0" fontId="1" fillId="2" borderId="52" xfId="0" applyNumberFormat="1" applyFont="1" applyFill="1" applyBorder="1"/>
    <xf numFmtId="0" fontId="1" fillId="2" borderId="59" xfId="0" applyNumberFormat="1" applyFont="1" applyFill="1" applyBorder="1" applyAlignment="1">
      <alignment horizontal="center"/>
    </xf>
    <xf numFmtId="0" fontId="1" fillId="2" borderId="59" xfId="0" applyNumberFormat="1" applyFont="1" applyFill="1" applyBorder="1"/>
    <xf numFmtId="0" fontId="0" fillId="0" borderId="57" xfId="0" applyBorder="1"/>
    <xf numFmtId="0" fontId="0" fillId="0" borderId="58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2" fillId="4" borderId="50" xfId="0" applyFont="1" applyFill="1" applyBorder="1"/>
    <xf numFmtId="0" fontId="2" fillId="4" borderId="50" xfId="0" applyFont="1" applyFill="1" applyBorder="1" applyAlignment="1">
      <alignment horizontal="center"/>
    </xf>
    <xf numFmtId="0" fontId="2" fillId="4" borderId="51" xfId="0" applyFont="1" applyFill="1" applyBorder="1"/>
    <xf numFmtId="0" fontId="2" fillId="4" borderId="52" xfId="0" applyFont="1" applyFill="1" applyBorder="1"/>
    <xf numFmtId="0" fontId="2" fillId="4" borderId="53" xfId="0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0" fontId="2" fillId="4" borderId="56" xfId="0" applyFont="1" applyFill="1" applyBorder="1"/>
    <xf numFmtId="0" fontId="2" fillId="4" borderId="2" xfId="0" applyNumberFormat="1" applyFont="1" applyFill="1" applyBorder="1"/>
    <xf numFmtId="0" fontId="2" fillId="4" borderId="2" xfId="0" applyNumberFormat="1" applyFont="1" applyFill="1" applyBorder="1" applyAlignment="1">
      <alignment horizontal="center"/>
    </xf>
    <xf numFmtId="0" fontId="54" fillId="4" borderId="52" xfId="0" applyFont="1" applyFill="1" applyBorder="1"/>
    <xf numFmtId="0" fontId="2" fillId="4" borderId="57" xfId="0" applyNumberFormat="1" applyFont="1" applyFill="1" applyBorder="1" applyAlignment="1">
      <alignment horizontal="center"/>
    </xf>
    <xf numFmtId="0" fontId="2" fillId="4" borderId="58" xfId="0" applyFont="1" applyFill="1" applyBorder="1"/>
    <xf numFmtId="0" fontId="2" fillId="4" borderId="54" xfId="0" applyNumberFormat="1" applyFont="1" applyFill="1" applyBorder="1" applyAlignment="1">
      <alignment horizontal="center"/>
    </xf>
    <xf numFmtId="0" fontId="54" fillId="4" borderId="55" xfId="0" applyFont="1" applyFill="1" applyBorder="1"/>
    <xf numFmtId="4" fontId="54" fillId="4" borderId="55" xfId="0" applyNumberFormat="1" applyFont="1" applyFill="1" applyBorder="1"/>
    <xf numFmtId="0" fontId="2" fillId="4" borderId="55" xfId="0" applyNumberFormat="1" applyFont="1" applyFill="1" applyBorder="1"/>
    <xf numFmtId="0" fontId="2" fillId="4" borderId="59" xfId="0" applyFont="1" applyFill="1" applyBorder="1"/>
    <xf numFmtId="0" fontId="2" fillId="4" borderId="60" xfId="0" applyNumberFormat="1" applyFont="1" applyFill="1" applyBorder="1" applyAlignment="1">
      <alignment horizontal="center"/>
    </xf>
    <xf numFmtId="0" fontId="2" fillId="4" borderId="61" xfId="0" applyNumberFormat="1" applyFont="1" applyFill="1" applyBorder="1" applyAlignment="1">
      <alignment horizontal="center"/>
    </xf>
    <xf numFmtId="0" fontId="2" fillId="4" borderId="60" xfId="0" applyFont="1" applyFill="1" applyBorder="1"/>
    <xf numFmtId="0" fontId="2" fillId="4" borderId="61" xfId="0" applyFont="1" applyFill="1" applyBorder="1"/>
    <xf numFmtId="0" fontId="54" fillId="4" borderId="59" xfId="0" applyFont="1" applyFill="1" applyBorder="1"/>
    <xf numFmtId="0" fontId="54" fillId="4" borderId="61" xfId="0" applyFont="1" applyFill="1" applyBorder="1"/>
    <xf numFmtId="4" fontId="2" fillId="4" borderId="60" xfId="0" applyNumberFormat="1" applyFont="1" applyFill="1" applyBorder="1"/>
    <xf numFmtId="4" fontId="54" fillId="4" borderId="61" xfId="0" applyNumberFormat="1" applyFont="1" applyFill="1" applyBorder="1"/>
    <xf numFmtId="0" fontId="2" fillId="4" borderId="60" xfId="0" applyNumberFormat="1" applyFont="1" applyFill="1" applyBorder="1"/>
    <xf numFmtId="0" fontId="2" fillId="4" borderId="61" xfId="0" applyNumberFormat="1" applyFont="1" applyFill="1" applyBorder="1"/>
    <xf numFmtId="0" fontId="2" fillId="4" borderId="51" xfId="0" applyNumberFormat="1" applyFont="1" applyFill="1" applyBorder="1" applyAlignment="1">
      <alignment horizontal="center"/>
    </xf>
    <xf numFmtId="4" fontId="2" fillId="4" borderId="52" xfId="0" applyNumberFormat="1" applyFont="1" applyFill="1" applyBorder="1"/>
    <xf numFmtId="0" fontId="2" fillId="4" borderId="52" xfId="0" applyNumberFormat="1" applyFont="1" applyFill="1" applyBorder="1"/>
    <xf numFmtId="0" fontId="2" fillId="4" borderId="59" xfId="0" applyNumberFormat="1" applyFont="1" applyFill="1" applyBorder="1" applyAlignment="1">
      <alignment horizontal="center"/>
    </xf>
    <xf numFmtId="4" fontId="2" fillId="4" borderId="59" xfId="0" applyNumberFormat="1" applyFont="1" applyFill="1" applyBorder="1"/>
    <xf numFmtId="0" fontId="2" fillId="4" borderId="59" xfId="0" applyNumberFormat="1" applyFont="1" applyFill="1" applyBorder="1"/>
    <xf numFmtId="4" fontId="54" fillId="4" borderId="52" xfId="0" applyNumberFormat="1" applyFont="1" applyFill="1" applyBorder="1"/>
    <xf numFmtId="0" fontId="3" fillId="6" borderId="50" xfId="0" applyFont="1" applyFill="1" applyBorder="1"/>
    <xf numFmtId="0" fontId="3" fillId="6" borderId="50" xfId="0" applyFont="1" applyFill="1" applyBorder="1" applyAlignment="1">
      <alignment horizontal="center"/>
    </xf>
    <xf numFmtId="0" fontId="3" fillId="6" borderId="51" xfId="0" applyFont="1" applyFill="1" applyBorder="1"/>
    <xf numFmtId="0" fontId="3" fillId="6" borderId="52" xfId="0" applyFont="1" applyFill="1" applyBorder="1"/>
    <xf numFmtId="0" fontId="3" fillId="6" borderId="53" xfId="0" applyFont="1" applyFill="1" applyBorder="1"/>
    <xf numFmtId="0" fontId="3" fillId="6" borderId="54" xfId="0" applyFont="1" applyFill="1" applyBorder="1"/>
    <xf numFmtId="0" fontId="3" fillId="6" borderId="55" xfId="0" applyFont="1" applyFill="1" applyBorder="1"/>
    <xf numFmtId="0" fontId="3" fillId="6" borderId="56" xfId="0" applyFont="1" applyFill="1" applyBorder="1"/>
    <xf numFmtId="0" fontId="3" fillId="6" borderId="3" xfId="0" applyNumberFormat="1" applyFont="1" applyFill="1" applyBorder="1"/>
    <xf numFmtId="0" fontId="3" fillId="6" borderId="3" xfId="0" applyNumberFormat="1" applyFont="1" applyFill="1" applyBorder="1" applyAlignment="1">
      <alignment horizontal="center"/>
    </xf>
    <xf numFmtId="0" fontId="54" fillId="6" borderId="52" xfId="0" applyFont="1" applyFill="1" applyBorder="1"/>
    <xf numFmtId="0" fontId="3" fillId="6" borderId="57" xfId="0" applyNumberFormat="1" applyFont="1" applyFill="1" applyBorder="1" applyAlignment="1">
      <alignment horizontal="center"/>
    </xf>
    <xf numFmtId="0" fontId="3" fillId="6" borderId="58" xfId="0" applyFont="1" applyFill="1" applyBorder="1"/>
    <xf numFmtId="0" fontId="3" fillId="6" borderId="54" xfId="0" applyNumberFormat="1" applyFont="1" applyFill="1" applyBorder="1" applyAlignment="1">
      <alignment horizontal="center"/>
    </xf>
    <xf numFmtId="0" fontId="54" fillId="6" borderId="55" xfId="0" applyFont="1" applyFill="1" applyBorder="1"/>
    <xf numFmtId="4" fontId="54" fillId="6" borderId="55" xfId="0" applyNumberFormat="1" applyFont="1" applyFill="1" applyBorder="1"/>
    <xf numFmtId="0" fontId="3" fillId="6" borderId="55" xfId="0" applyNumberFormat="1" applyFont="1" applyFill="1" applyBorder="1"/>
    <xf numFmtId="0" fontId="3" fillId="6" borderId="59" xfId="0" applyFont="1" applyFill="1" applyBorder="1"/>
    <xf numFmtId="0" fontId="3" fillId="6" borderId="60" xfId="0" applyNumberFormat="1" applyFont="1" applyFill="1" applyBorder="1" applyAlignment="1">
      <alignment horizontal="center"/>
    </xf>
    <xf numFmtId="0" fontId="3" fillId="6" borderId="61" xfId="0" applyNumberFormat="1" applyFont="1" applyFill="1" applyBorder="1" applyAlignment="1">
      <alignment horizontal="center"/>
    </xf>
    <xf numFmtId="0" fontId="3" fillId="6" borderId="60" xfId="0" applyFont="1" applyFill="1" applyBorder="1"/>
    <xf numFmtId="0" fontId="3" fillId="6" borderId="61" xfId="0" applyFont="1" applyFill="1" applyBorder="1"/>
    <xf numFmtId="0" fontId="54" fillId="6" borderId="59" xfId="0" applyFont="1" applyFill="1" applyBorder="1"/>
    <xf numFmtId="0" fontId="54" fillId="6" borderId="61" xfId="0" applyFont="1" applyFill="1" applyBorder="1"/>
    <xf numFmtId="4" fontId="3" fillId="6" borderId="60" xfId="0" applyNumberFormat="1" applyFont="1" applyFill="1" applyBorder="1"/>
    <xf numFmtId="4" fontId="54" fillId="6" borderId="61" xfId="0" applyNumberFormat="1" applyFont="1" applyFill="1" applyBorder="1"/>
    <xf numFmtId="0" fontId="3" fillId="6" borderId="60" xfId="0" applyNumberFormat="1" applyFont="1" applyFill="1" applyBorder="1"/>
    <xf numFmtId="0" fontId="3" fillId="6" borderId="61" xfId="0" applyNumberFormat="1" applyFont="1" applyFill="1" applyBorder="1"/>
    <xf numFmtId="0" fontId="3" fillId="6" borderId="51" xfId="0" applyNumberFormat="1" applyFont="1" applyFill="1" applyBorder="1" applyAlignment="1">
      <alignment horizontal="center"/>
    </xf>
    <xf numFmtId="4" fontId="3" fillId="6" borderId="52" xfId="0" applyNumberFormat="1" applyFont="1" applyFill="1" applyBorder="1"/>
    <xf numFmtId="0" fontId="3" fillId="6" borderId="52" xfId="0" applyNumberFormat="1" applyFont="1" applyFill="1" applyBorder="1"/>
    <xf numFmtId="0" fontId="3" fillId="6" borderId="59" xfId="0" applyNumberFormat="1" applyFont="1" applyFill="1" applyBorder="1" applyAlignment="1">
      <alignment horizontal="center"/>
    </xf>
    <xf numFmtId="4" fontId="3" fillId="6" borderId="59" xfId="0" applyNumberFormat="1" applyFont="1" applyFill="1" applyBorder="1"/>
    <xf numFmtId="0" fontId="3" fillId="6" borderId="59" xfId="0" applyNumberFormat="1" applyFont="1" applyFill="1" applyBorder="1"/>
    <xf numFmtId="4" fontId="54" fillId="6" borderId="52" xfId="0" applyNumberFormat="1" applyFont="1" applyFill="1" applyBorder="1"/>
    <xf numFmtId="0" fontId="4" fillId="8" borderId="50" xfId="0" applyFont="1" applyFill="1" applyBorder="1"/>
    <xf numFmtId="0" fontId="4" fillId="8" borderId="50" xfId="0" applyFont="1" applyFill="1" applyBorder="1" applyAlignment="1">
      <alignment horizontal="center"/>
    </xf>
    <xf numFmtId="0" fontId="4" fillId="8" borderId="51" xfId="0" applyFont="1" applyFill="1" applyBorder="1"/>
    <xf numFmtId="0" fontId="4" fillId="8" borderId="52" xfId="0" applyFont="1" applyFill="1" applyBorder="1"/>
    <xf numFmtId="0" fontId="4" fillId="8" borderId="53" xfId="0" applyFont="1" applyFill="1" applyBorder="1"/>
    <xf numFmtId="0" fontId="4" fillId="8" borderId="54" xfId="0" applyFont="1" applyFill="1" applyBorder="1"/>
    <xf numFmtId="0" fontId="4" fillId="8" borderId="55" xfId="0" applyFont="1" applyFill="1" applyBorder="1"/>
    <xf numFmtId="0" fontId="4" fillId="8" borderId="56" xfId="0" applyFont="1" applyFill="1" applyBorder="1"/>
    <xf numFmtId="0" fontId="4" fillId="8" borderId="4" xfId="0" applyNumberFormat="1" applyFont="1" applyFill="1" applyBorder="1"/>
    <xf numFmtId="0" fontId="4" fillId="8" borderId="4" xfId="0" applyNumberFormat="1" applyFont="1" applyFill="1" applyBorder="1" applyAlignment="1">
      <alignment horizontal="center"/>
    </xf>
    <xf numFmtId="0" fontId="54" fillId="8" borderId="52" xfId="0" applyFont="1" applyFill="1" applyBorder="1"/>
    <xf numFmtId="0" fontId="4" fillId="8" borderId="57" xfId="0" applyNumberFormat="1" applyFont="1" applyFill="1" applyBorder="1" applyAlignment="1">
      <alignment horizontal="center"/>
    </xf>
    <xf numFmtId="0" fontId="4" fillId="8" borderId="58" xfId="0" applyFont="1" applyFill="1" applyBorder="1"/>
    <xf numFmtId="0" fontId="4" fillId="8" borderId="54" xfId="0" applyNumberFormat="1" applyFont="1" applyFill="1" applyBorder="1" applyAlignment="1">
      <alignment horizontal="center"/>
    </xf>
    <xf numFmtId="0" fontId="54" fillId="8" borderId="55" xfId="0" applyFont="1" applyFill="1" applyBorder="1"/>
    <xf numFmtId="4" fontId="54" fillId="8" borderId="55" xfId="0" applyNumberFormat="1" applyFont="1" applyFill="1" applyBorder="1"/>
    <xf numFmtId="0" fontId="4" fillId="8" borderId="55" xfId="0" applyNumberFormat="1" applyFont="1" applyFill="1" applyBorder="1"/>
    <xf numFmtId="0" fontId="4" fillId="8" borderId="59" xfId="0" applyFont="1" applyFill="1" applyBorder="1"/>
    <xf numFmtId="0" fontId="4" fillId="8" borderId="60" xfId="0" applyNumberFormat="1" applyFont="1" applyFill="1" applyBorder="1" applyAlignment="1">
      <alignment horizontal="center"/>
    </xf>
    <xf numFmtId="0" fontId="4" fillId="8" borderId="61" xfId="0" applyNumberFormat="1" applyFont="1" applyFill="1" applyBorder="1" applyAlignment="1">
      <alignment horizontal="center"/>
    </xf>
    <xf numFmtId="0" fontId="4" fillId="8" borderId="60" xfId="0" applyFont="1" applyFill="1" applyBorder="1"/>
    <xf numFmtId="0" fontId="4" fillId="8" borderId="61" xfId="0" applyFont="1" applyFill="1" applyBorder="1"/>
    <xf numFmtId="0" fontId="54" fillId="8" borderId="59" xfId="0" applyFont="1" applyFill="1" applyBorder="1"/>
    <xf numFmtId="0" fontId="54" fillId="8" borderId="61" xfId="0" applyFont="1" applyFill="1" applyBorder="1"/>
    <xf numFmtId="4" fontId="4" fillId="8" borderId="60" xfId="0" applyNumberFormat="1" applyFont="1" applyFill="1" applyBorder="1"/>
    <xf numFmtId="4" fontId="54" fillId="8" borderId="61" xfId="0" applyNumberFormat="1" applyFont="1" applyFill="1" applyBorder="1"/>
    <xf numFmtId="0" fontId="4" fillId="8" borderId="60" xfId="0" applyNumberFormat="1" applyFont="1" applyFill="1" applyBorder="1"/>
    <xf numFmtId="0" fontId="4" fillId="8" borderId="61" xfId="0" applyNumberFormat="1" applyFont="1" applyFill="1" applyBorder="1"/>
    <xf numFmtId="0" fontId="4" fillId="8" borderId="51" xfId="0" applyNumberFormat="1" applyFont="1" applyFill="1" applyBorder="1" applyAlignment="1">
      <alignment horizontal="center"/>
    </xf>
    <xf numFmtId="4" fontId="4" fillId="8" borderId="52" xfId="0" applyNumberFormat="1" applyFont="1" applyFill="1" applyBorder="1"/>
    <xf numFmtId="0" fontId="4" fillId="8" borderId="52" xfId="0" applyNumberFormat="1" applyFont="1" applyFill="1" applyBorder="1"/>
    <xf numFmtId="0" fontId="4" fillId="8" borderId="59" xfId="0" applyNumberFormat="1" applyFont="1" applyFill="1" applyBorder="1" applyAlignment="1">
      <alignment horizontal="center"/>
    </xf>
    <xf numFmtId="4" fontId="4" fillId="8" borderId="59" xfId="0" applyNumberFormat="1" applyFont="1" applyFill="1" applyBorder="1"/>
    <xf numFmtId="0" fontId="4" fillId="8" borderId="59" xfId="0" applyNumberFormat="1" applyFont="1" applyFill="1" applyBorder="1"/>
    <xf numFmtId="4" fontId="54" fillId="8" borderId="52" xfId="0" applyNumberFormat="1" applyFont="1" applyFill="1" applyBorder="1"/>
    <xf numFmtId="0" fontId="5" fillId="10" borderId="50" xfId="0" applyFont="1" applyFill="1" applyBorder="1"/>
    <xf numFmtId="0" fontId="5" fillId="10" borderId="50" xfId="0" applyFont="1" applyFill="1" applyBorder="1" applyAlignment="1">
      <alignment horizontal="center"/>
    </xf>
    <xf numFmtId="0" fontId="5" fillId="10" borderId="51" xfId="0" applyFont="1" applyFill="1" applyBorder="1"/>
    <xf numFmtId="0" fontId="5" fillId="10" borderId="52" xfId="0" applyFont="1" applyFill="1" applyBorder="1"/>
    <xf numFmtId="0" fontId="5" fillId="10" borderId="53" xfId="0" applyFont="1" applyFill="1" applyBorder="1"/>
    <xf numFmtId="0" fontId="5" fillId="10" borderId="54" xfId="0" applyFont="1" applyFill="1" applyBorder="1"/>
    <xf numFmtId="0" fontId="5" fillId="10" borderId="55" xfId="0" applyFont="1" applyFill="1" applyBorder="1"/>
    <xf numFmtId="0" fontId="5" fillId="10" borderId="56" xfId="0" applyFont="1" applyFill="1" applyBorder="1"/>
    <xf numFmtId="0" fontId="5" fillId="10" borderId="5" xfId="0" applyNumberFormat="1" applyFont="1" applyFill="1" applyBorder="1"/>
    <xf numFmtId="0" fontId="5" fillId="10" borderId="5" xfId="0" applyNumberFormat="1" applyFont="1" applyFill="1" applyBorder="1" applyAlignment="1">
      <alignment horizontal="center"/>
    </xf>
    <xf numFmtId="0" fontId="54" fillId="10" borderId="52" xfId="0" applyFont="1" applyFill="1" applyBorder="1"/>
    <xf numFmtId="0" fontId="5" fillId="10" borderId="57" xfId="0" applyNumberFormat="1" applyFont="1" applyFill="1" applyBorder="1" applyAlignment="1">
      <alignment horizontal="center"/>
    </xf>
    <xf numFmtId="0" fontId="5" fillId="10" borderId="58" xfId="0" applyFont="1" applyFill="1" applyBorder="1"/>
    <xf numFmtId="0" fontId="5" fillId="10" borderId="54" xfId="0" applyNumberFormat="1" applyFont="1" applyFill="1" applyBorder="1" applyAlignment="1">
      <alignment horizontal="center"/>
    </xf>
    <xf numFmtId="0" fontId="54" fillId="10" borderId="55" xfId="0" applyFont="1" applyFill="1" applyBorder="1"/>
    <xf numFmtId="4" fontId="54" fillId="10" borderId="55" xfId="0" applyNumberFormat="1" applyFont="1" applyFill="1" applyBorder="1"/>
    <xf numFmtId="0" fontId="5" fillId="10" borderId="55" xfId="0" applyNumberFormat="1" applyFont="1" applyFill="1" applyBorder="1"/>
    <xf numFmtId="0" fontId="5" fillId="10" borderId="59" xfId="0" applyFont="1" applyFill="1" applyBorder="1"/>
    <xf numFmtId="0" fontId="5" fillId="10" borderId="60" xfId="0" applyNumberFormat="1" applyFont="1" applyFill="1" applyBorder="1" applyAlignment="1">
      <alignment horizontal="center"/>
    </xf>
    <xf numFmtId="0" fontId="5" fillId="10" borderId="61" xfId="0" applyNumberFormat="1" applyFont="1" applyFill="1" applyBorder="1" applyAlignment="1">
      <alignment horizontal="center"/>
    </xf>
    <xf numFmtId="0" fontId="5" fillId="10" borderId="60" xfId="0" applyFont="1" applyFill="1" applyBorder="1"/>
    <xf numFmtId="0" fontId="5" fillId="10" borderId="61" xfId="0" applyFont="1" applyFill="1" applyBorder="1"/>
    <xf numFmtId="0" fontId="54" fillId="10" borderId="59" xfId="0" applyFont="1" applyFill="1" applyBorder="1"/>
    <xf numFmtId="0" fontId="54" fillId="10" borderId="61" xfId="0" applyFont="1" applyFill="1" applyBorder="1"/>
    <xf numFmtId="4" fontId="5" fillId="10" borderId="60" xfId="0" applyNumberFormat="1" applyFont="1" applyFill="1" applyBorder="1"/>
    <xf numFmtId="4" fontId="54" fillId="10" borderId="61" xfId="0" applyNumberFormat="1" applyFont="1" applyFill="1" applyBorder="1"/>
    <xf numFmtId="0" fontId="5" fillId="10" borderId="60" xfId="0" applyNumberFormat="1" applyFont="1" applyFill="1" applyBorder="1"/>
    <xf numFmtId="0" fontId="5" fillId="10" borderId="61" xfId="0" applyNumberFormat="1" applyFont="1" applyFill="1" applyBorder="1"/>
    <xf numFmtId="0" fontId="5" fillId="10" borderId="51" xfId="0" applyNumberFormat="1" applyFont="1" applyFill="1" applyBorder="1" applyAlignment="1">
      <alignment horizontal="center"/>
    </xf>
    <xf numFmtId="4" fontId="5" fillId="10" borderId="52" xfId="0" applyNumberFormat="1" applyFont="1" applyFill="1" applyBorder="1"/>
    <xf numFmtId="0" fontId="5" fillId="10" borderId="52" xfId="0" applyNumberFormat="1" applyFont="1" applyFill="1" applyBorder="1"/>
    <xf numFmtId="0" fontId="5" fillId="10" borderId="59" xfId="0" applyNumberFormat="1" applyFont="1" applyFill="1" applyBorder="1" applyAlignment="1">
      <alignment horizontal="center"/>
    </xf>
    <xf numFmtId="4" fontId="5" fillId="10" borderId="59" xfId="0" applyNumberFormat="1" applyFont="1" applyFill="1" applyBorder="1"/>
    <xf numFmtId="0" fontId="5" fillId="10" borderId="59" xfId="0" applyNumberFormat="1" applyFont="1" applyFill="1" applyBorder="1"/>
    <xf numFmtId="4" fontId="54" fillId="10" borderId="52" xfId="0" applyNumberFormat="1" applyFont="1" applyFill="1" applyBorder="1"/>
    <xf numFmtId="0" fontId="6" fillId="12" borderId="50" xfId="0" applyFont="1" applyFill="1" applyBorder="1"/>
    <xf numFmtId="0" fontId="6" fillId="12" borderId="50" xfId="0" applyFont="1" applyFill="1" applyBorder="1" applyAlignment="1">
      <alignment horizontal="center"/>
    </xf>
    <xf numFmtId="0" fontId="6" fillId="12" borderId="51" xfId="0" applyFont="1" applyFill="1" applyBorder="1"/>
    <xf numFmtId="0" fontId="6" fillId="12" borderId="52" xfId="0" applyFont="1" applyFill="1" applyBorder="1"/>
    <xf numFmtId="0" fontId="6" fillId="12" borderId="53" xfId="0" applyFont="1" applyFill="1" applyBorder="1"/>
    <xf numFmtId="0" fontId="6" fillId="12" borderId="54" xfId="0" applyFont="1" applyFill="1" applyBorder="1"/>
    <xf numFmtId="0" fontId="6" fillId="12" borderId="55" xfId="0" applyFont="1" applyFill="1" applyBorder="1"/>
    <xf numFmtId="0" fontId="6" fillId="12" borderId="56" xfId="0" applyFont="1" applyFill="1" applyBorder="1"/>
    <xf numFmtId="0" fontId="6" fillId="12" borderId="6" xfId="0" applyNumberFormat="1" applyFont="1" applyFill="1" applyBorder="1"/>
    <xf numFmtId="0" fontId="6" fillId="12" borderId="6" xfId="0" applyNumberFormat="1" applyFont="1" applyFill="1" applyBorder="1" applyAlignment="1">
      <alignment horizontal="center"/>
    </xf>
    <xf numFmtId="0" fontId="54" fillId="12" borderId="52" xfId="0" applyFont="1" applyFill="1" applyBorder="1"/>
    <xf numFmtId="0" fontId="6" fillId="12" borderId="57" xfId="0" applyNumberFormat="1" applyFont="1" applyFill="1" applyBorder="1" applyAlignment="1">
      <alignment horizontal="center"/>
    </xf>
    <xf numFmtId="0" fontId="6" fillId="12" borderId="58" xfId="0" applyFont="1" applyFill="1" applyBorder="1"/>
    <xf numFmtId="0" fontId="6" fillId="12" borderId="54" xfId="0" applyNumberFormat="1" applyFont="1" applyFill="1" applyBorder="1" applyAlignment="1">
      <alignment horizontal="center"/>
    </xf>
    <xf numFmtId="0" fontId="54" fillId="12" borderId="55" xfId="0" applyFont="1" applyFill="1" applyBorder="1"/>
    <xf numFmtId="4" fontId="54" fillId="12" borderId="55" xfId="0" applyNumberFormat="1" applyFont="1" applyFill="1" applyBorder="1"/>
    <xf numFmtId="0" fontId="6" fillId="12" borderId="55" xfId="0" applyNumberFormat="1" applyFont="1" applyFill="1" applyBorder="1"/>
    <xf numFmtId="0" fontId="6" fillId="12" borderId="59" xfId="0" applyFont="1" applyFill="1" applyBorder="1"/>
    <xf numFmtId="0" fontId="6" fillId="12" borderId="60" xfId="0" applyNumberFormat="1" applyFont="1" applyFill="1" applyBorder="1" applyAlignment="1">
      <alignment horizontal="center"/>
    </xf>
    <xf numFmtId="0" fontId="6" fillId="12" borderId="61" xfId="0" applyNumberFormat="1" applyFont="1" applyFill="1" applyBorder="1" applyAlignment="1">
      <alignment horizontal="center"/>
    </xf>
    <xf numFmtId="0" fontId="6" fillId="12" borderId="60" xfId="0" applyFont="1" applyFill="1" applyBorder="1"/>
    <xf numFmtId="0" fontId="6" fillId="12" borderId="61" xfId="0" applyFont="1" applyFill="1" applyBorder="1"/>
    <xf numFmtId="0" fontId="54" fillId="12" borderId="59" xfId="0" applyFont="1" applyFill="1" applyBorder="1"/>
    <xf numFmtId="0" fontId="54" fillId="12" borderId="61" xfId="0" applyFont="1" applyFill="1" applyBorder="1"/>
    <xf numFmtId="4" fontId="6" fillId="12" borderId="60" xfId="0" applyNumberFormat="1" applyFont="1" applyFill="1" applyBorder="1"/>
    <xf numFmtId="4" fontId="54" fillId="12" borderId="61" xfId="0" applyNumberFormat="1" applyFont="1" applyFill="1" applyBorder="1"/>
    <xf numFmtId="0" fontId="6" fillId="12" borderId="60" xfId="0" applyNumberFormat="1" applyFont="1" applyFill="1" applyBorder="1"/>
    <xf numFmtId="0" fontId="6" fillId="12" borderId="61" xfId="0" applyNumberFormat="1" applyFont="1" applyFill="1" applyBorder="1"/>
    <xf numFmtId="0" fontId="6" fillId="12" borderId="51" xfId="0" applyNumberFormat="1" applyFont="1" applyFill="1" applyBorder="1" applyAlignment="1">
      <alignment horizontal="center"/>
    </xf>
    <xf numFmtId="4" fontId="6" fillId="12" borderId="52" xfId="0" applyNumberFormat="1" applyFont="1" applyFill="1" applyBorder="1"/>
    <xf numFmtId="0" fontId="6" fillId="12" borderId="52" xfId="0" applyNumberFormat="1" applyFont="1" applyFill="1" applyBorder="1"/>
    <xf numFmtId="0" fontId="6" fillId="12" borderId="59" xfId="0" applyNumberFormat="1" applyFont="1" applyFill="1" applyBorder="1" applyAlignment="1">
      <alignment horizontal="center"/>
    </xf>
    <xf numFmtId="4" fontId="6" fillId="12" borderId="59" xfId="0" applyNumberFormat="1" applyFont="1" applyFill="1" applyBorder="1"/>
    <xf numFmtId="0" fontId="6" fillId="12" borderId="59" xfId="0" applyNumberFormat="1" applyFont="1" applyFill="1" applyBorder="1"/>
    <xf numFmtId="4" fontId="54" fillId="12" borderId="52" xfId="0" applyNumberFormat="1" applyFont="1" applyFill="1" applyBorder="1"/>
    <xf numFmtId="0" fontId="7" fillId="14" borderId="50" xfId="0" applyFont="1" applyFill="1" applyBorder="1"/>
    <xf numFmtId="0" fontId="7" fillId="14" borderId="50" xfId="0" applyFont="1" applyFill="1" applyBorder="1" applyAlignment="1">
      <alignment horizontal="center"/>
    </xf>
    <xf numFmtId="0" fontId="7" fillId="14" borderId="51" xfId="0" applyFont="1" applyFill="1" applyBorder="1"/>
    <xf numFmtId="0" fontId="7" fillId="14" borderId="52" xfId="0" applyFont="1" applyFill="1" applyBorder="1"/>
    <xf numFmtId="0" fontId="7" fillId="14" borderId="53" xfId="0" applyFont="1" applyFill="1" applyBorder="1"/>
    <xf numFmtId="0" fontId="7" fillId="14" borderId="54" xfId="0" applyFont="1" applyFill="1" applyBorder="1"/>
    <xf numFmtId="0" fontId="7" fillId="14" borderId="55" xfId="0" applyFont="1" applyFill="1" applyBorder="1"/>
    <xf numFmtId="0" fontId="7" fillId="14" borderId="56" xfId="0" applyFont="1" applyFill="1" applyBorder="1"/>
    <xf numFmtId="0" fontId="7" fillId="14" borderId="7" xfId="0" applyNumberFormat="1" applyFont="1" applyFill="1" applyBorder="1"/>
    <xf numFmtId="0" fontId="7" fillId="14" borderId="7" xfId="0" applyNumberFormat="1" applyFont="1" applyFill="1" applyBorder="1" applyAlignment="1">
      <alignment horizontal="center"/>
    </xf>
    <xf numFmtId="0" fontId="54" fillId="14" borderId="52" xfId="0" applyFont="1" applyFill="1" applyBorder="1"/>
    <xf numFmtId="0" fontId="7" fillId="14" borderId="57" xfId="0" applyNumberFormat="1" applyFont="1" applyFill="1" applyBorder="1" applyAlignment="1">
      <alignment horizontal="center"/>
    </xf>
    <xf numFmtId="0" fontId="7" fillId="14" borderId="58" xfId="0" applyFont="1" applyFill="1" applyBorder="1"/>
    <xf numFmtId="0" fontId="7" fillId="14" borderId="54" xfId="0" applyNumberFormat="1" applyFont="1" applyFill="1" applyBorder="1" applyAlignment="1">
      <alignment horizontal="center"/>
    </xf>
    <xf numFmtId="0" fontId="54" fillId="14" borderId="55" xfId="0" applyFont="1" applyFill="1" applyBorder="1"/>
    <xf numFmtId="4" fontId="54" fillId="14" borderId="55" xfId="0" applyNumberFormat="1" applyFont="1" applyFill="1" applyBorder="1"/>
    <xf numFmtId="0" fontId="7" fillId="14" borderId="55" xfId="0" applyNumberFormat="1" applyFont="1" applyFill="1" applyBorder="1"/>
    <xf numFmtId="0" fontId="7" fillId="14" borderId="59" xfId="0" applyFont="1" applyFill="1" applyBorder="1"/>
    <xf numFmtId="0" fontId="7" fillId="14" borderId="60" xfId="0" applyNumberFormat="1" applyFont="1" applyFill="1" applyBorder="1" applyAlignment="1">
      <alignment horizontal="center"/>
    </xf>
    <xf numFmtId="0" fontId="7" fillId="14" borderId="61" xfId="0" applyNumberFormat="1" applyFont="1" applyFill="1" applyBorder="1" applyAlignment="1">
      <alignment horizontal="center"/>
    </xf>
    <xf numFmtId="0" fontId="7" fillId="14" borderId="60" xfId="0" applyFont="1" applyFill="1" applyBorder="1"/>
    <xf numFmtId="0" fontId="7" fillId="14" borderId="61" xfId="0" applyFont="1" applyFill="1" applyBorder="1"/>
    <xf numFmtId="0" fontId="54" fillId="14" borderId="59" xfId="0" applyFont="1" applyFill="1" applyBorder="1"/>
    <xf numFmtId="0" fontId="54" fillId="14" borderId="61" xfId="0" applyFont="1" applyFill="1" applyBorder="1"/>
    <xf numFmtId="4" fontId="7" fillId="14" borderId="60" xfId="0" applyNumberFormat="1" applyFont="1" applyFill="1" applyBorder="1"/>
    <xf numFmtId="4" fontId="54" fillId="14" borderId="61" xfId="0" applyNumberFormat="1" applyFont="1" applyFill="1" applyBorder="1"/>
    <xf numFmtId="0" fontId="7" fillId="14" borderId="60" xfId="0" applyNumberFormat="1" applyFont="1" applyFill="1" applyBorder="1"/>
    <xf numFmtId="0" fontId="7" fillId="14" borderId="61" xfId="0" applyNumberFormat="1" applyFont="1" applyFill="1" applyBorder="1"/>
    <xf numFmtId="0" fontId="7" fillId="14" borderId="51" xfId="0" applyNumberFormat="1" applyFont="1" applyFill="1" applyBorder="1" applyAlignment="1">
      <alignment horizontal="center"/>
    </xf>
    <xf numFmtId="4" fontId="7" fillId="14" borderId="52" xfId="0" applyNumberFormat="1" applyFont="1" applyFill="1" applyBorder="1"/>
    <xf numFmtId="0" fontId="7" fillId="14" borderId="52" xfId="0" applyNumberFormat="1" applyFont="1" applyFill="1" applyBorder="1"/>
    <xf numFmtId="0" fontId="7" fillId="14" borderId="59" xfId="0" applyNumberFormat="1" applyFont="1" applyFill="1" applyBorder="1" applyAlignment="1">
      <alignment horizontal="center"/>
    </xf>
    <xf numFmtId="4" fontId="7" fillId="14" borderId="59" xfId="0" applyNumberFormat="1" applyFont="1" applyFill="1" applyBorder="1"/>
    <xf numFmtId="0" fontId="7" fillId="14" borderId="59" xfId="0" applyNumberFormat="1" applyFont="1" applyFill="1" applyBorder="1"/>
    <xf numFmtId="4" fontId="54" fillId="14" borderId="52" xfId="0" applyNumberFormat="1" applyFont="1" applyFill="1" applyBorder="1"/>
    <xf numFmtId="0" fontId="8" fillId="16" borderId="50" xfId="0" applyFont="1" applyFill="1" applyBorder="1"/>
    <xf numFmtId="0" fontId="8" fillId="16" borderId="50" xfId="0" applyFont="1" applyFill="1" applyBorder="1" applyAlignment="1">
      <alignment horizontal="center"/>
    </xf>
    <xf numFmtId="0" fontId="8" fillId="16" borderId="51" xfId="0" applyFont="1" applyFill="1" applyBorder="1"/>
    <xf numFmtId="0" fontId="8" fillId="16" borderId="52" xfId="0" applyFont="1" applyFill="1" applyBorder="1"/>
    <xf numFmtId="0" fontId="8" fillId="16" borderId="53" xfId="0" applyFont="1" applyFill="1" applyBorder="1"/>
    <xf numFmtId="0" fontId="8" fillId="16" borderId="54" xfId="0" applyFont="1" applyFill="1" applyBorder="1"/>
    <xf numFmtId="0" fontId="8" fillId="16" borderId="55" xfId="0" applyFont="1" applyFill="1" applyBorder="1"/>
    <xf numFmtId="0" fontId="8" fillId="16" borderId="56" xfId="0" applyFont="1" applyFill="1" applyBorder="1"/>
    <xf numFmtId="0" fontId="8" fillId="16" borderId="8" xfId="0" applyNumberFormat="1" applyFont="1" applyFill="1" applyBorder="1"/>
    <xf numFmtId="0" fontId="8" fillId="16" borderId="8" xfId="0" applyNumberFormat="1" applyFont="1" applyFill="1" applyBorder="1" applyAlignment="1">
      <alignment horizontal="center"/>
    </xf>
    <xf numFmtId="0" fontId="54" fillId="16" borderId="52" xfId="0" applyFont="1" applyFill="1" applyBorder="1"/>
    <xf numFmtId="0" fontId="8" fillId="16" borderId="57" xfId="0" applyNumberFormat="1" applyFont="1" applyFill="1" applyBorder="1" applyAlignment="1">
      <alignment horizontal="center"/>
    </xf>
    <xf numFmtId="0" fontId="8" fillId="16" borderId="58" xfId="0" applyFont="1" applyFill="1" applyBorder="1"/>
    <xf numFmtId="0" fontId="8" fillId="16" borderId="54" xfId="0" applyNumberFormat="1" applyFont="1" applyFill="1" applyBorder="1" applyAlignment="1">
      <alignment horizontal="center"/>
    </xf>
    <xf numFmtId="0" fontId="54" fillId="16" borderId="55" xfId="0" applyFont="1" applyFill="1" applyBorder="1"/>
    <xf numFmtId="4" fontId="54" fillId="16" borderId="55" xfId="0" applyNumberFormat="1" applyFont="1" applyFill="1" applyBorder="1"/>
    <xf numFmtId="0" fontId="8" fillId="16" borderId="55" xfId="0" applyNumberFormat="1" applyFont="1" applyFill="1" applyBorder="1"/>
    <xf numFmtId="0" fontId="8" fillId="16" borderId="59" xfId="0" applyFont="1" applyFill="1" applyBorder="1"/>
    <xf numFmtId="0" fontId="8" fillId="16" borderId="60" xfId="0" applyNumberFormat="1" applyFont="1" applyFill="1" applyBorder="1" applyAlignment="1">
      <alignment horizontal="center"/>
    </xf>
    <xf numFmtId="0" fontId="8" fillId="16" borderId="61" xfId="0" applyNumberFormat="1" applyFont="1" applyFill="1" applyBorder="1" applyAlignment="1">
      <alignment horizontal="center"/>
    </xf>
    <xf numFmtId="0" fontId="8" fillId="16" borderId="60" xfId="0" applyFont="1" applyFill="1" applyBorder="1"/>
    <xf numFmtId="0" fontId="8" fillId="16" borderId="61" xfId="0" applyFont="1" applyFill="1" applyBorder="1"/>
    <xf numFmtId="0" fontId="54" fillId="16" borderId="59" xfId="0" applyFont="1" applyFill="1" applyBorder="1"/>
    <xf numFmtId="0" fontId="54" fillId="16" borderId="61" xfId="0" applyFont="1" applyFill="1" applyBorder="1"/>
    <xf numFmtId="4" fontId="8" fillId="16" borderId="60" xfId="0" applyNumberFormat="1" applyFont="1" applyFill="1" applyBorder="1"/>
    <xf numFmtId="4" fontId="54" fillId="16" borderId="61" xfId="0" applyNumberFormat="1" applyFont="1" applyFill="1" applyBorder="1"/>
    <xf numFmtId="0" fontId="8" fillId="16" borderId="60" xfId="0" applyNumberFormat="1" applyFont="1" applyFill="1" applyBorder="1"/>
    <xf numFmtId="0" fontId="8" fillId="16" borderId="61" xfId="0" applyNumberFormat="1" applyFont="1" applyFill="1" applyBorder="1"/>
    <xf numFmtId="0" fontId="8" fillId="16" borderId="51" xfId="0" applyNumberFormat="1" applyFont="1" applyFill="1" applyBorder="1" applyAlignment="1">
      <alignment horizontal="center"/>
    </xf>
    <xf numFmtId="4" fontId="8" fillId="16" borderId="52" xfId="0" applyNumberFormat="1" applyFont="1" applyFill="1" applyBorder="1"/>
    <xf numFmtId="0" fontId="8" fillId="16" borderId="52" xfId="0" applyNumberFormat="1" applyFont="1" applyFill="1" applyBorder="1"/>
    <xf numFmtId="0" fontId="8" fillId="16" borderId="59" xfId="0" applyNumberFormat="1" applyFont="1" applyFill="1" applyBorder="1" applyAlignment="1">
      <alignment horizontal="center"/>
    </xf>
    <xf numFmtId="4" fontId="8" fillId="16" borderId="59" xfId="0" applyNumberFormat="1" applyFont="1" applyFill="1" applyBorder="1"/>
    <xf numFmtId="0" fontId="8" fillId="16" borderId="59" xfId="0" applyNumberFormat="1" applyFont="1" applyFill="1" applyBorder="1"/>
    <xf numFmtId="4" fontId="54" fillId="16" borderId="52" xfId="0" applyNumberFormat="1" applyFont="1" applyFill="1" applyBorder="1"/>
    <xf numFmtId="0" fontId="9" fillId="18" borderId="50" xfId="0" applyFont="1" applyFill="1" applyBorder="1"/>
    <xf numFmtId="0" fontId="9" fillId="18" borderId="50" xfId="0" applyFont="1" applyFill="1" applyBorder="1" applyAlignment="1">
      <alignment horizontal="center"/>
    </xf>
    <xf numFmtId="0" fontId="9" fillId="18" borderId="51" xfId="0" applyFont="1" applyFill="1" applyBorder="1"/>
    <xf numFmtId="0" fontId="9" fillId="18" borderId="52" xfId="0" applyFont="1" applyFill="1" applyBorder="1"/>
    <xf numFmtId="0" fontId="9" fillId="18" borderId="53" xfId="0" applyFont="1" applyFill="1" applyBorder="1"/>
    <xf numFmtId="0" fontId="9" fillId="18" borderId="54" xfId="0" applyFont="1" applyFill="1" applyBorder="1"/>
    <xf numFmtId="0" fontId="9" fillId="18" borderId="55" xfId="0" applyFont="1" applyFill="1" applyBorder="1"/>
    <xf numFmtId="0" fontId="9" fillId="18" borderId="56" xfId="0" applyFont="1" applyFill="1" applyBorder="1"/>
    <xf numFmtId="0" fontId="9" fillId="18" borderId="9" xfId="0" applyNumberFormat="1" applyFont="1" applyFill="1" applyBorder="1"/>
    <xf numFmtId="0" fontId="9" fillId="18" borderId="9" xfId="0" applyNumberFormat="1" applyFont="1" applyFill="1" applyBorder="1" applyAlignment="1">
      <alignment horizontal="center"/>
    </xf>
    <xf numFmtId="0" fontId="54" fillId="18" borderId="52" xfId="0" applyFont="1" applyFill="1" applyBorder="1"/>
    <xf numFmtId="0" fontId="9" fillId="18" borderId="57" xfId="0" applyNumberFormat="1" applyFont="1" applyFill="1" applyBorder="1" applyAlignment="1">
      <alignment horizontal="center"/>
    </xf>
    <xf numFmtId="0" fontId="9" fillId="18" borderId="58" xfId="0" applyFont="1" applyFill="1" applyBorder="1"/>
    <xf numFmtId="0" fontId="9" fillId="18" borderId="54" xfId="0" applyNumberFormat="1" applyFont="1" applyFill="1" applyBorder="1" applyAlignment="1">
      <alignment horizontal="center"/>
    </xf>
    <xf numFmtId="0" fontId="54" fillId="18" borderId="55" xfId="0" applyFont="1" applyFill="1" applyBorder="1"/>
    <xf numFmtId="4" fontId="54" fillId="18" borderId="55" xfId="0" applyNumberFormat="1" applyFont="1" applyFill="1" applyBorder="1"/>
    <xf numFmtId="0" fontId="9" fillId="18" borderId="55" xfId="0" applyNumberFormat="1" applyFont="1" applyFill="1" applyBorder="1"/>
    <xf numFmtId="0" fontId="9" fillId="18" borderId="59" xfId="0" applyFont="1" applyFill="1" applyBorder="1"/>
    <xf numFmtId="0" fontId="9" fillId="18" borderId="60" xfId="0" applyNumberFormat="1" applyFont="1" applyFill="1" applyBorder="1" applyAlignment="1">
      <alignment horizontal="center"/>
    </xf>
    <xf numFmtId="0" fontId="9" fillId="18" borderId="61" xfId="0" applyNumberFormat="1" applyFont="1" applyFill="1" applyBorder="1" applyAlignment="1">
      <alignment horizontal="center"/>
    </xf>
    <xf numFmtId="0" fontId="9" fillId="18" borderId="60" xfId="0" applyFont="1" applyFill="1" applyBorder="1"/>
    <xf numFmtId="0" fontId="9" fillId="18" borderId="61" xfId="0" applyFont="1" applyFill="1" applyBorder="1"/>
    <xf numFmtId="0" fontId="54" fillId="18" borderId="59" xfId="0" applyFont="1" applyFill="1" applyBorder="1"/>
    <xf numFmtId="0" fontId="54" fillId="18" borderId="61" xfId="0" applyFont="1" applyFill="1" applyBorder="1"/>
    <xf numFmtId="4" fontId="9" fillId="18" borderId="60" xfId="0" applyNumberFormat="1" applyFont="1" applyFill="1" applyBorder="1"/>
    <xf numFmtId="4" fontId="54" fillId="18" borderId="61" xfId="0" applyNumberFormat="1" applyFont="1" applyFill="1" applyBorder="1"/>
    <xf numFmtId="0" fontId="9" fillId="18" borderId="60" xfId="0" applyNumberFormat="1" applyFont="1" applyFill="1" applyBorder="1"/>
    <xf numFmtId="0" fontId="9" fillId="18" borderId="61" xfId="0" applyNumberFormat="1" applyFont="1" applyFill="1" applyBorder="1"/>
    <xf numFmtId="0" fontId="9" fillId="18" borderId="51" xfId="0" applyNumberFormat="1" applyFont="1" applyFill="1" applyBorder="1" applyAlignment="1">
      <alignment horizontal="center"/>
    </xf>
    <xf numFmtId="4" fontId="9" fillId="18" borderId="52" xfId="0" applyNumberFormat="1" applyFont="1" applyFill="1" applyBorder="1"/>
    <xf numFmtId="0" fontId="9" fillId="18" borderId="52" xfId="0" applyNumberFormat="1" applyFont="1" applyFill="1" applyBorder="1"/>
    <xf numFmtId="0" fontId="9" fillId="18" borderId="59" xfId="0" applyNumberFormat="1" applyFont="1" applyFill="1" applyBorder="1" applyAlignment="1">
      <alignment horizontal="center"/>
    </xf>
    <xf numFmtId="4" fontId="9" fillId="18" borderId="59" xfId="0" applyNumberFormat="1" applyFont="1" applyFill="1" applyBorder="1"/>
    <xf numFmtId="0" fontId="9" fillId="18" borderId="59" xfId="0" applyNumberFormat="1" applyFont="1" applyFill="1" applyBorder="1"/>
    <xf numFmtId="4" fontId="54" fillId="18" borderId="52" xfId="0" applyNumberFormat="1" applyFont="1" applyFill="1" applyBorder="1"/>
    <xf numFmtId="0" fontId="10" fillId="20" borderId="50" xfId="0" applyFont="1" applyFill="1" applyBorder="1"/>
    <xf numFmtId="0" fontId="10" fillId="20" borderId="50" xfId="0" applyFont="1" applyFill="1" applyBorder="1" applyAlignment="1">
      <alignment horizontal="center"/>
    </xf>
    <xf numFmtId="0" fontId="10" fillId="20" borderId="51" xfId="0" applyFont="1" applyFill="1" applyBorder="1"/>
    <xf numFmtId="0" fontId="10" fillId="20" borderId="52" xfId="0" applyFont="1" applyFill="1" applyBorder="1"/>
    <xf numFmtId="0" fontId="10" fillId="20" borderId="53" xfId="0" applyFont="1" applyFill="1" applyBorder="1"/>
    <xf numFmtId="0" fontId="10" fillId="20" borderId="54" xfId="0" applyFont="1" applyFill="1" applyBorder="1"/>
    <xf numFmtId="0" fontId="10" fillId="20" borderId="55" xfId="0" applyFont="1" applyFill="1" applyBorder="1"/>
    <xf numFmtId="0" fontId="10" fillId="20" borderId="56" xfId="0" applyFont="1" applyFill="1" applyBorder="1"/>
    <xf numFmtId="0" fontId="10" fillId="20" borderId="10" xfId="0" applyNumberFormat="1" applyFont="1" applyFill="1" applyBorder="1"/>
    <xf numFmtId="0" fontId="10" fillId="20" borderId="10" xfId="0" applyNumberFormat="1" applyFont="1" applyFill="1" applyBorder="1" applyAlignment="1">
      <alignment horizontal="center"/>
    </xf>
    <xf numFmtId="0" fontId="54" fillId="20" borderId="52" xfId="0" applyFont="1" applyFill="1" applyBorder="1"/>
    <xf numFmtId="0" fontId="10" fillId="20" borderId="57" xfId="0" applyNumberFormat="1" applyFont="1" applyFill="1" applyBorder="1" applyAlignment="1">
      <alignment horizontal="center"/>
    </xf>
    <xf numFmtId="0" fontId="10" fillId="20" borderId="58" xfId="0" applyFont="1" applyFill="1" applyBorder="1"/>
    <xf numFmtId="0" fontId="10" fillId="20" borderId="54" xfId="0" applyNumberFormat="1" applyFont="1" applyFill="1" applyBorder="1" applyAlignment="1">
      <alignment horizontal="center"/>
    </xf>
    <xf numFmtId="0" fontId="54" fillId="20" borderId="55" xfId="0" applyFont="1" applyFill="1" applyBorder="1"/>
    <xf numFmtId="4" fontId="54" fillId="20" borderId="55" xfId="0" applyNumberFormat="1" applyFont="1" applyFill="1" applyBorder="1"/>
    <xf numFmtId="0" fontId="10" fillId="20" borderId="55" xfId="0" applyNumberFormat="1" applyFont="1" applyFill="1" applyBorder="1"/>
    <xf numFmtId="0" fontId="10" fillId="20" borderId="59" xfId="0" applyFont="1" applyFill="1" applyBorder="1"/>
    <xf numFmtId="0" fontId="10" fillId="20" borderId="60" xfId="0" applyNumberFormat="1" applyFont="1" applyFill="1" applyBorder="1" applyAlignment="1">
      <alignment horizontal="center"/>
    </xf>
    <xf numFmtId="0" fontId="10" fillId="20" borderId="61" xfId="0" applyNumberFormat="1" applyFont="1" applyFill="1" applyBorder="1" applyAlignment="1">
      <alignment horizontal="center"/>
    </xf>
    <xf numFmtId="0" fontId="10" fillId="20" borderId="60" xfId="0" applyFont="1" applyFill="1" applyBorder="1"/>
    <xf numFmtId="0" fontId="10" fillId="20" borderId="61" xfId="0" applyFont="1" applyFill="1" applyBorder="1"/>
    <xf numFmtId="0" fontId="54" fillId="20" borderId="59" xfId="0" applyFont="1" applyFill="1" applyBorder="1"/>
    <xf numFmtId="0" fontId="54" fillId="20" borderId="61" xfId="0" applyFont="1" applyFill="1" applyBorder="1"/>
    <xf numFmtId="4" fontId="10" fillId="20" borderId="60" xfId="0" applyNumberFormat="1" applyFont="1" applyFill="1" applyBorder="1"/>
    <xf numFmtId="4" fontId="54" fillId="20" borderId="61" xfId="0" applyNumberFormat="1" applyFont="1" applyFill="1" applyBorder="1"/>
    <xf numFmtId="0" fontId="10" fillId="20" borderId="60" xfId="0" applyNumberFormat="1" applyFont="1" applyFill="1" applyBorder="1"/>
    <xf numFmtId="0" fontId="10" fillId="20" borderId="61" xfId="0" applyNumberFormat="1" applyFont="1" applyFill="1" applyBorder="1"/>
    <xf numFmtId="0" fontId="10" fillId="20" borderId="51" xfId="0" applyNumberFormat="1" applyFont="1" applyFill="1" applyBorder="1" applyAlignment="1">
      <alignment horizontal="center"/>
    </xf>
    <xf numFmtId="4" fontId="10" fillId="20" borderId="52" xfId="0" applyNumberFormat="1" applyFont="1" applyFill="1" applyBorder="1"/>
    <xf numFmtId="0" fontId="10" fillId="20" borderId="52" xfId="0" applyNumberFormat="1" applyFont="1" applyFill="1" applyBorder="1"/>
    <xf numFmtId="0" fontId="10" fillId="20" borderId="59" xfId="0" applyNumberFormat="1" applyFont="1" applyFill="1" applyBorder="1" applyAlignment="1">
      <alignment horizontal="center"/>
    </xf>
    <xf numFmtId="4" fontId="10" fillId="20" borderId="59" xfId="0" applyNumberFormat="1" applyFont="1" applyFill="1" applyBorder="1"/>
    <xf numFmtId="0" fontId="10" fillId="20" borderId="59" xfId="0" applyNumberFormat="1" applyFont="1" applyFill="1" applyBorder="1"/>
    <xf numFmtId="4" fontId="54" fillId="20" borderId="52" xfId="0" applyNumberFormat="1" applyFont="1" applyFill="1" applyBorder="1"/>
    <xf numFmtId="0" fontId="11" fillId="22" borderId="50" xfId="0" applyFont="1" applyFill="1" applyBorder="1"/>
    <xf numFmtId="0" fontId="11" fillId="22" borderId="50" xfId="0" applyFont="1" applyFill="1" applyBorder="1" applyAlignment="1">
      <alignment horizontal="center"/>
    </xf>
    <xf numFmtId="0" fontId="11" fillId="22" borderId="51" xfId="0" applyFont="1" applyFill="1" applyBorder="1"/>
    <xf numFmtId="0" fontId="11" fillId="22" borderId="52" xfId="0" applyFont="1" applyFill="1" applyBorder="1"/>
    <xf numFmtId="0" fontId="11" fillId="22" borderId="53" xfId="0" applyFont="1" applyFill="1" applyBorder="1"/>
    <xf numFmtId="0" fontId="11" fillId="22" borderId="54" xfId="0" applyFont="1" applyFill="1" applyBorder="1"/>
    <xf numFmtId="0" fontId="11" fillId="22" borderId="55" xfId="0" applyFont="1" applyFill="1" applyBorder="1"/>
    <xf numFmtId="0" fontId="11" fillId="22" borderId="56" xfId="0" applyFont="1" applyFill="1" applyBorder="1"/>
    <xf numFmtId="0" fontId="11" fillId="22" borderId="11" xfId="0" applyNumberFormat="1" applyFont="1" applyFill="1" applyBorder="1"/>
    <xf numFmtId="0" fontId="11" fillId="22" borderId="11" xfId="0" applyNumberFormat="1" applyFont="1" applyFill="1" applyBorder="1" applyAlignment="1">
      <alignment horizontal="center"/>
    </xf>
    <xf numFmtId="0" fontId="54" fillId="22" borderId="52" xfId="0" applyFont="1" applyFill="1" applyBorder="1"/>
    <xf numFmtId="0" fontId="11" fillId="22" borderId="57" xfId="0" applyNumberFormat="1" applyFont="1" applyFill="1" applyBorder="1" applyAlignment="1">
      <alignment horizontal="center"/>
    </xf>
    <xf numFmtId="0" fontId="11" fillId="22" borderId="58" xfId="0" applyFont="1" applyFill="1" applyBorder="1"/>
    <xf numFmtId="0" fontId="11" fillId="22" borderId="54" xfId="0" applyNumberFormat="1" applyFont="1" applyFill="1" applyBorder="1" applyAlignment="1">
      <alignment horizontal="center"/>
    </xf>
    <xf numFmtId="0" fontId="54" fillId="22" borderId="55" xfId="0" applyFont="1" applyFill="1" applyBorder="1"/>
    <xf numFmtId="4" fontId="54" fillId="22" borderId="55" xfId="0" applyNumberFormat="1" applyFont="1" applyFill="1" applyBorder="1"/>
    <xf numFmtId="0" fontId="11" fillId="22" borderId="55" xfId="0" applyNumberFormat="1" applyFont="1" applyFill="1" applyBorder="1"/>
    <xf numFmtId="0" fontId="11" fillId="22" borderId="59" xfId="0" applyFont="1" applyFill="1" applyBorder="1"/>
    <xf numFmtId="0" fontId="11" fillId="22" borderId="60" xfId="0" applyNumberFormat="1" applyFont="1" applyFill="1" applyBorder="1" applyAlignment="1">
      <alignment horizontal="center"/>
    </xf>
    <xf numFmtId="0" fontId="11" fillId="22" borderId="61" xfId="0" applyNumberFormat="1" applyFont="1" applyFill="1" applyBorder="1" applyAlignment="1">
      <alignment horizontal="center"/>
    </xf>
    <xf numFmtId="0" fontId="11" fillId="22" borderId="60" xfId="0" applyFont="1" applyFill="1" applyBorder="1"/>
    <xf numFmtId="0" fontId="11" fillId="22" borderId="61" xfId="0" applyFont="1" applyFill="1" applyBorder="1"/>
    <xf numFmtId="0" fontId="54" fillId="22" borderId="59" xfId="0" applyFont="1" applyFill="1" applyBorder="1"/>
    <xf numFmtId="0" fontId="54" fillId="22" borderId="61" xfId="0" applyFont="1" applyFill="1" applyBorder="1"/>
    <xf numFmtId="4" fontId="11" fillId="22" borderId="60" xfId="0" applyNumberFormat="1" applyFont="1" applyFill="1" applyBorder="1"/>
    <xf numFmtId="4" fontId="54" fillId="22" borderId="61" xfId="0" applyNumberFormat="1" applyFont="1" applyFill="1" applyBorder="1"/>
    <xf numFmtId="0" fontId="11" fillId="22" borderId="60" xfId="0" applyNumberFormat="1" applyFont="1" applyFill="1" applyBorder="1"/>
    <xf numFmtId="0" fontId="11" fillId="22" borderId="61" xfId="0" applyNumberFormat="1" applyFont="1" applyFill="1" applyBorder="1"/>
    <xf numFmtId="0" fontId="11" fillId="22" borderId="51" xfId="0" applyNumberFormat="1" applyFont="1" applyFill="1" applyBorder="1" applyAlignment="1">
      <alignment horizontal="center"/>
    </xf>
    <xf numFmtId="4" fontId="11" fillId="22" borderId="52" xfId="0" applyNumberFormat="1" applyFont="1" applyFill="1" applyBorder="1"/>
    <xf numFmtId="0" fontId="11" fillId="22" borderId="52" xfId="0" applyNumberFormat="1" applyFont="1" applyFill="1" applyBorder="1"/>
    <xf numFmtId="0" fontId="11" fillId="22" borderId="59" xfId="0" applyNumberFormat="1" applyFont="1" applyFill="1" applyBorder="1" applyAlignment="1">
      <alignment horizontal="center"/>
    </xf>
    <xf numFmtId="4" fontId="11" fillId="22" borderId="59" xfId="0" applyNumberFormat="1" applyFont="1" applyFill="1" applyBorder="1"/>
    <xf numFmtId="0" fontId="11" fillId="22" borderId="59" xfId="0" applyNumberFormat="1" applyFont="1" applyFill="1" applyBorder="1"/>
    <xf numFmtId="4" fontId="54" fillId="22" borderId="52" xfId="0" applyNumberFormat="1" applyFont="1" applyFill="1" applyBorder="1"/>
    <xf numFmtId="0" fontId="12" fillId="24" borderId="50" xfId="0" applyFont="1" applyFill="1" applyBorder="1"/>
    <xf numFmtId="0" fontId="12" fillId="24" borderId="50" xfId="0" applyFont="1" applyFill="1" applyBorder="1" applyAlignment="1">
      <alignment horizontal="center"/>
    </xf>
    <xf numFmtId="0" fontId="12" fillId="24" borderId="51" xfId="0" applyFont="1" applyFill="1" applyBorder="1"/>
    <xf numFmtId="0" fontId="12" fillId="24" borderId="52" xfId="0" applyFont="1" applyFill="1" applyBorder="1"/>
    <xf numFmtId="0" fontId="12" fillId="24" borderId="53" xfId="0" applyFont="1" applyFill="1" applyBorder="1"/>
    <xf numFmtId="0" fontId="12" fillId="24" borderId="54" xfId="0" applyFont="1" applyFill="1" applyBorder="1"/>
    <xf numFmtId="0" fontId="12" fillId="24" borderId="55" xfId="0" applyFont="1" applyFill="1" applyBorder="1"/>
    <xf numFmtId="0" fontId="12" fillId="24" borderId="56" xfId="0" applyFont="1" applyFill="1" applyBorder="1"/>
    <xf numFmtId="0" fontId="12" fillId="24" borderId="12" xfId="0" applyNumberFormat="1" applyFont="1" applyFill="1" applyBorder="1"/>
    <xf numFmtId="0" fontId="12" fillId="24" borderId="12" xfId="0" applyNumberFormat="1" applyFont="1" applyFill="1" applyBorder="1" applyAlignment="1">
      <alignment horizontal="center"/>
    </xf>
    <xf numFmtId="0" fontId="54" fillId="24" borderId="52" xfId="0" applyFont="1" applyFill="1" applyBorder="1"/>
    <xf numFmtId="0" fontId="12" fillId="24" borderId="57" xfId="0" applyNumberFormat="1" applyFont="1" applyFill="1" applyBorder="1" applyAlignment="1">
      <alignment horizontal="center"/>
    </xf>
    <xf numFmtId="0" fontId="12" fillId="24" borderId="58" xfId="0" applyFont="1" applyFill="1" applyBorder="1"/>
    <xf numFmtId="0" fontId="12" fillId="24" borderId="54" xfId="0" applyNumberFormat="1" applyFont="1" applyFill="1" applyBorder="1" applyAlignment="1">
      <alignment horizontal="center"/>
    </xf>
    <xf numFmtId="0" fontId="54" fillId="24" borderId="55" xfId="0" applyFont="1" applyFill="1" applyBorder="1"/>
    <xf numFmtId="4" fontId="54" fillId="24" borderId="55" xfId="0" applyNumberFormat="1" applyFont="1" applyFill="1" applyBorder="1"/>
    <xf numFmtId="0" fontId="12" fillId="24" borderId="55" xfId="0" applyNumberFormat="1" applyFont="1" applyFill="1" applyBorder="1"/>
    <xf numFmtId="0" fontId="12" fillId="24" borderId="59" xfId="0" applyFont="1" applyFill="1" applyBorder="1"/>
    <xf numFmtId="0" fontId="12" fillId="24" borderId="60" xfId="0" applyNumberFormat="1" applyFont="1" applyFill="1" applyBorder="1" applyAlignment="1">
      <alignment horizontal="center"/>
    </xf>
    <xf numFmtId="0" fontId="12" fillId="24" borderId="61" xfId="0" applyNumberFormat="1" applyFont="1" applyFill="1" applyBorder="1" applyAlignment="1">
      <alignment horizontal="center"/>
    </xf>
    <xf numFmtId="0" fontId="12" fillId="24" borderId="60" xfId="0" applyFont="1" applyFill="1" applyBorder="1"/>
    <xf numFmtId="0" fontId="12" fillId="24" borderId="61" xfId="0" applyFont="1" applyFill="1" applyBorder="1"/>
    <xf numFmtId="0" fontId="54" fillId="24" borderId="59" xfId="0" applyFont="1" applyFill="1" applyBorder="1"/>
    <xf numFmtId="0" fontId="54" fillId="24" borderId="61" xfId="0" applyFont="1" applyFill="1" applyBorder="1"/>
    <xf numFmtId="4" fontId="12" fillId="24" borderId="60" xfId="0" applyNumberFormat="1" applyFont="1" applyFill="1" applyBorder="1"/>
    <xf numFmtId="4" fontId="54" fillId="24" borderId="61" xfId="0" applyNumberFormat="1" applyFont="1" applyFill="1" applyBorder="1"/>
    <xf numFmtId="0" fontId="12" fillId="24" borderId="60" xfId="0" applyNumberFormat="1" applyFont="1" applyFill="1" applyBorder="1"/>
    <xf numFmtId="0" fontId="12" fillId="24" borderId="61" xfId="0" applyNumberFormat="1" applyFont="1" applyFill="1" applyBorder="1"/>
    <xf numFmtId="0" fontId="12" fillId="24" borderId="51" xfId="0" applyNumberFormat="1" applyFont="1" applyFill="1" applyBorder="1" applyAlignment="1">
      <alignment horizontal="center"/>
    </xf>
    <xf numFmtId="4" fontId="12" fillId="24" borderId="52" xfId="0" applyNumberFormat="1" applyFont="1" applyFill="1" applyBorder="1"/>
    <xf numFmtId="0" fontId="12" fillId="24" borderId="52" xfId="0" applyNumberFormat="1" applyFont="1" applyFill="1" applyBorder="1"/>
    <xf numFmtId="0" fontId="12" fillId="24" borderId="59" xfId="0" applyNumberFormat="1" applyFont="1" applyFill="1" applyBorder="1" applyAlignment="1">
      <alignment horizontal="center"/>
    </xf>
    <xf numFmtId="4" fontId="12" fillId="24" borderId="59" xfId="0" applyNumberFormat="1" applyFont="1" applyFill="1" applyBorder="1"/>
    <xf numFmtId="0" fontId="12" fillId="24" borderId="59" xfId="0" applyNumberFormat="1" applyFont="1" applyFill="1" applyBorder="1"/>
    <xf numFmtId="4" fontId="54" fillId="24" borderId="52" xfId="0" applyNumberFormat="1" applyFont="1" applyFill="1" applyBorder="1"/>
    <xf numFmtId="0" fontId="13" fillId="26" borderId="50" xfId="0" applyFont="1" applyFill="1" applyBorder="1"/>
    <xf numFmtId="0" fontId="13" fillId="26" borderId="50" xfId="0" applyFont="1" applyFill="1" applyBorder="1" applyAlignment="1">
      <alignment horizontal="center"/>
    </xf>
    <xf numFmtId="0" fontId="13" fillId="26" borderId="51" xfId="0" applyFont="1" applyFill="1" applyBorder="1"/>
    <xf numFmtId="0" fontId="13" fillId="26" borderId="52" xfId="0" applyFont="1" applyFill="1" applyBorder="1"/>
    <xf numFmtId="0" fontId="13" fillId="26" borderId="53" xfId="0" applyFont="1" applyFill="1" applyBorder="1"/>
    <xf numFmtId="0" fontId="13" fillId="26" borderId="54" xfId="0" applyFont="1" applyFill="1" applyBorder="1"/>
    <xf numFmtId="0" fontId="13" fillId="26" borderId="55" xfId="0" applyFont="1" applyFill="1" applyBorder="1"/>
    <xf numFmtId="0" fontId="13" fillId="26" borderId="56" xfId="0" applyFont="1" applyFill="1" applyBorder="1"/>
    <xf numFmtId="0" fontId="13" fillId="26" borderId="13" xfId="0" applyNumberFormat="1" applyFont="1" applyFill="1" applyBorder="1"/>
    <xf numFmtId="0" fontId="13" fillId="26" borderId="13" xfId="0" applyNumberFormat="1" applyFont="1" applyFill="1" applyBorder="1" applyAlignment="1">
      <alignment horizontal="center"/>
    </xf>
    <xf numFmtId="0" fontId="54" fillId="26" borderId="52" xfId="0" applyFont="1" applyFill="1" applyBorder="1"/>
    <xf numFmtId="0" fontId="13" fillId="26" borderId="57" xfId="0" applyNumberFormat="1" applyFont="1" applyFill="1" applyBorder="1" applyAlignment="1">
      <alignment horizontal="center"/>
    </xf>
    <xf numFmtId="0" fontId="13" fillId="26" borderId="58" xfId="0" applyFont="1" applyFill="1" applyBorder="1"/>
    <xf numFmtId="0" fontId="13" fillId="26" borderId="54" xfId="0" applyNumberFormat="1" applyFont="1" applyFill="1" applyBorder="1" applyAlignment="1">
      <alignment horizontal="center"/>
    </xf>
    <xf numFmtId="0" fontId="54" fillId="26" borderId="55" xfId="0" applyFont="1" applyFill="1" applyBorder="1"/>
    <xf numFmtId="4" fontId="54" fillId="26" borderId="55" xfId="0" applyNumberFormat="1" applyFont="1" applyFill="1" applyBorder="1"/>
    <xf numFmtId="0" fontId="13" fillId="26" borderId="55" xfId="0" applyNumberFormat="1" applyFont="1" applyFill="1" applyBorder="1"/>
    <xf numFmtId="0" fontId="13" fillId="26" borderId="59" xfId="0" applyFont="1" applyFill="1" applyBorder="1"/>
    <xf numFmtId="0" fontId="13" fillId="26" borderId="60" xfId="0" applyNumberFormat="1" applyFont="1" applyFill="1" applyBorder="1" applyAlignment="1">
      <alignment horizontal="center"/>
    </xf>
    <xf numFmtId="0" fontId="13" fillId="26" borderId="61" xfId="0" applyNumberFormat="1" applyFont="1" applyFill="1" applyBorder="1" applyAlignment="1">
      <alignment horizontal="center"/>
    </xf>
    <xf numFmtId="0" fontId="13" fillId="26" borderId="60" xfId="0" applyFont="1" applyFill="1" applyBorder="1"/>
    <xf numFmtId="0" fontId="13" fillId="26" borderId="61" xfId="0" applyFont="1" applyFill="1" applyBorder="1"/>
    <xf numFmtId="0" fontId="54" fillId="26" borderId="59" xfId="0" applyFont="1" applyFill="1" applyBorder="1"/>
    <xf numFmtId="0" fontId="54" fillId="26" borderId="61" xfId="0" applyFont="1" applyFill="1" applyBorder="1"/>
    <xf numFmtId="4" fontId="13" fillId="26" borderId="60" xfId="0" applyNumberFormat="1" applyFont="1" applyFill="1" applyBorder="1"/>
    <xf numFmtId="4" fontId="54" fillId="26" borderId="61" xfId="0" applyNumberFormat="1" applyFont="1" applyFill="1" applyBorder="1"/>
    <xf numFmtId="0" fontId="13" fillId="26" borderId="60" xfId="0" applyNumberFormat="1" applyFont="1" applyFill="1" applyBorder="1"/>
    <xf numFmtId="0" fontId="13" fillId="26" borderId="61" xfId="0" applyNumberFormat="1" applyFont="1" applyFill="1" applyBorder="1"/>
    <xf numFmtId="0" fontId="13" fillId="26" borderId="51" xfId="0" applyNumberFormat="1" applyFont="1" applyFill="1" applyBorder="1" applyAlignment="1">
      <alignment horizontal="center"/>
    </xf>
    <xf numFmtId="4" fontId="13" fillId="26" borderId="52" xfId="0" applyNumberFormat="1" applyFont="1" applyFill="1" applyBorder="1"/>
    <xf numFmtId="0" fontId="13" fillId="26" borderId="52" xfId="0" applyNumberFormat="1" applyFont="1" applyFill="1" applyBorder="1"/>
    <xf numFmtId="0" fontId="13" fillId="26" borderId="59" xfId="0" applyNumberFormat="1" applyFont="1" applyFill="1" applyBorder="1" applyAlignment="1">
      <alignment horizontal="center"/>
    </xf>
    <xf numFmtId="4" fontId="13" fillId="26" borderId="59" xfId="0" applyNumberFormat="1" applyFont="1" applyFill="1" applyBorder="1"/>
    <xf numFmtId="0" fontId="13" fillId="26" borderId="59" xfId="0" applyNumberFormat="1" applyFont="1" applyFill="1" applyBorder="1"/>
    <xf numFmtId="4" fontId="54" fillId="26" borderId="52" xfId="0" applyNumberFormat="1" applyFont="1" applyFill="1" applyBorder="1"/>
    <xf numFmtId="0" fontId="14" fillId="28" borderId="50" xfId="0" applyFont="1" applyFill="1" applyBorder="1"/>
    <xf numFmtId="0" fontId="14" fillId="28" borderId="50" xfId="0" applyFont="1" applyFill="1" applyBorder="1" applyAlignment="1">
      <alignment horizontal="center"/>
    </xf>
    <xf numFmtId="0" fontId="14" fillId="28" borderId="51" xfId="0" applyFont="1" applyFill="1" applyBorder="1"/>
    <xf numFmtId="0" fontId="14" fillId="28" borderId="52" xfId="0" applyFont="1" applyFill="1" applyBorder="1"/>
    <xf numFmtId="0" fontId="14" fillId="28" borderId="53" xfId="0" applyFont="1" applyFill="1" applyBorder="1"/>
    <xf numFmtId="0" fontId="14" fillId="28" borderId="54" xfId="0" applyFont="1" applyFill="1" applyBorder="1"/>
    <xf numFmtId="0" fontId="14" fillId="28" borderId="55" xfId="0" applyFont="1" applyFill="1" applyBorder="1"/>
    <xf numFmtId="0" fontId="14" fillId="28" borderId="56" xfId="0" applyFont="1" applyFill="1" applyBorder="1"/>
    <xf numFmtId="0" fontId="14" fillId="28" borderId="14" xfId="0" applyNumberFormat="1" applyFont="1" applyFill="1" applyBorder="1"/>
    <xf numFmtId="0" fontId="14" fillId="28" borderId="14" xfId="0" applyNumberFormat="1" applyFont="1" applyFill="1" applyBorder="1" applyAlignment="1">
      <alignment horizontal="center"/>
    </xf>
    <xf numFmtId="0" fontId="54" fillId="28" borderId="52" xfId="0" applyFont="1" applyFill="1" applyBorder="1"/>
    <xf numFmtId="0" fontId="14" fillId="28" borderId="57" xfId="0" applyNumberFormat="1" applyFont="1" applyFill="1" applyBorder="1" applyAlignment="1">
      <alignment horizontal="center"/>
    </xf>
    <xf numFmtId="0" fontId="14" fillId="28" borderId="58" xfId="0" applyFont="1" applyFill="1" applyBorder="1"/>
    <xf numFmtId="0" fontId="14" fillId="28" borderId="54" xfId="0" applyNumberFormat="1" applyFont="1" applyFill="1" applyBorder="1" applyAlignment="1">
      <alignment horizontal="center"/>
    </xf>
    <xf numFmtId="0" fontId="54" fillId="28" borderId="55" xfId="0" applyFont="1" applyFill="1" applyBorder="1"/>
    <xf numFmtId="4" fontId="54" fillId="28" borderId="55" xfId="0" applyNumberFormat="1" applyFont="1" applyFill="1" applyBorder="1"/>
    <xf numFmtId="0" fontId="14" fillId="28" borderId="55" xfId="0" applyNumberFormat="1" applyFont="1" applyFill="1" applyBorder="1"/>
    <xf numFmtId="0" fontId="14" fillId="28" borderId="59" xfId="0" applyFont="1" applyFill="1" applyBorder="1"/>
    <xf numFmtId="0" fontId="14" fillId="28" borderId="60" xfId="0" applyNumberFormat="1" applyFont="1" applyFill="1" applyBorder="1" applyAlignment="1">
      <alignment horizontal="center"/>
    </xf>
    <xf numFmtId="0" fontId="14" fillId="28" borderId="61" xfId="0" applyNumberFormat="1" applyFont="1" applyFill="1" applyBorder="1" applyAlignment="1">
      <alignment horizontal="center"/>
    </xf>
    <xf numFmtId="0" fontId="14" fillId="28" borderId="60" xfId="0" applyFont="1" applyFill="1" applyBorder="1"/>
    <xf numFmtId="0" fontId="14" fillId="28" borderId="61" xfId="0" applyFont="1" applyFill="1" applyBorder="1"/>
    <xf numFmtId="0" fontId="54" fillId="28" borderId="59" xfId="0" applyFont="1" applyFill="1" applyBorder="1"/>
    <xf numFmtId="0" fontId="54" fillId="28" borderId="61" xfId="0" applyFont="1" applyFill="1" applyBorder="1"/>
    <xf numFmtId="4" fontId="14" fillId="28" borderId="60" xfId="0" applyNumberFormat="1" applyFont="1" applyFill="1" applyBorder="1"/>
    <xf numFmtId="4" fontId="54" fillId="28" borderId="61" xfId="0" applyNumberFormat="1" applyFont="1" applyFill="1" applyBorder="1"/>
    <xf numFmtId="0" fontId="14" fillId="28" borderId="60" xfId="0" applyNumberFormat="1" applyFont="1" applyFill="1" applyBorder="1"/>
    <xf numFmtId="0" fontId="14" fillId="28" borderId="61" xfId="0" applyNumberFormat="1" applyFont="1" applyFill="1" applyBorder="1"/>
    <xf numFmtId="0" fontId="14" fillId="28" borderId="51" xfId="0" applyNumberFormat="1" applyFont="1" applyFill="1" applyBorder="1" applyAlignment="1">
      <alignment horizontal="center"/>
    </xf>
    <xf numFmtId="4" fontId="14" fillId="28" borderId="52" xfId="0" applyNumberFormat="1" applyFont="1" applyFill="1" applyBorder="1"/>
    <xf numFmtId="0" fontId="14" fillId="28" borderId="52" xfId="0" applyNumberFormat="1" applyFont="1" applyFill="1" applyBorder="1"/>
    <xf numFmtId="0" fontId="14" fillId="28" borderId="59" xfId="0" applyNumberFormat="1" applyFont="1" applyFill="1" applyBorder="1" applyAlignment="1">
      <alignment horizontal="center"/>
    </xf>
    <xf numFmtId="4" fontId="14" fillId="28" borderId="59" xfId="0" applyNumberFormat="1" applyFont="1" applyFill="1" applyBorder="1"/>
    <xf numFmtId="0" fontId="14" fillId="28" borderId="59" xfId="0" applyNumberFormat="1" applyFont="1" applyFill="1" applyBorder="1"/>
    <xf numFmtId="4" fontId="54" fillId="28" borderId="52" xfId="0" applyNumberFormat="1" applyFont="1" applyFill="1" applyBorder="1"/>
    <xf numFmtId="0" fontId="15" fillId="30" borderId="50" xfId="0" applyFont="1" applyFill="1" applyBorder="1"/>
    <xf numFmtId="0" fontId="15" fillId="30" borderId="50" xfId="0" applyFont="1" applyFill="1" applyBorder="1" applyAlignment="1">
      <alignment horizontal="center"/>
    </xf>
    <xf numFmtId="0" fontId="15" fillId="30" borderId="51" xfId="0" applyFont="1" applyFill="1" applyBorder="1"/>
    <xf numFmtId="0" fontId="15" fillId="30" borderId="52" xfId="0" applyFont="1" applyFill="1" applyBorder="1"/>
    <xf numFmtId="0" fontId="15" fillId="30" borderId="53" xfId="0" applyFont="1" applyFill="1" applyBorder="1"/>
    <xf numFmtId="0" fontId="15" fillId="30" borderId="54" xfId="0" applyFont="1" applyFill="1" applyBorder="1"/>
    <xf numFmtId="0" fontId="15" fillId="30" borderId="55" xfId="0" applyFont="1" applyFill="1" applyBorder="1"/>
    <xf numFmtId="0" fontId="15" fillId="30" borderId="56" xfId="0" applyFont="1" applyFill="1" applyBorder="1"/>
    <xf numFmtId="0" fontId="15" fillId="30" borderId="15" xfId="0" applyNumberFormat="1" applyFont="1" applyFill="1" applyBorder="1"/>
    <xf numFmtId="0" fontId="15" fillId="30" borderId="15" xfId="0" applyNumberFormat="1" applyFont="1" applyFill="1" applyBorder="1" applyAlignment="1">
      <alignment horizontal="center"/>
    </xf>
    <xf numFmtId="0" fontId="54" fillId="30" borderId="52" xfId="0" applyFont="1" applyFill="1" applyBorder="1"/>
    <xf numFmtId="0" fontId="15" fillId="30" borderId="57" xfId="0" applyNumberFormat="1" applyFont="1" applyFill="1" applyBorder="1" applyAlignment="1">
      <alignment horizontal="center"/>
    </xf>
    <xf numFmtId="0" fontId="15" fillId="30" borderId="58" xfId="0" applyFont="1" applyFill="1" applyBorder="1"/>
    <xf numFmtId="0" fontId="15" fillId="30" borderId="54" xfId="0" applyNumberFormat="1" applyFont="1" applyFill="1" applyBorder="1" applyAlignment="1">
      <alignment horizontal="center"/>
    </xf>
    <xf numFmtId="0" fontId="54" fillId="30" borderId="55" xfId="0" applyFont="1" applyFill="1" applyBorder="1"/>
    <xf numFmtId="4" fontId="54" fillId="30" borderId="55" xfId="0" applyNumberFormat="1" applyFont="1" applyFill="1" applyBorder="1"/>
    <xf numFmtId="0" fontId="15" fillId="30" borderId="55" xfId="0" applyNumberFormat="1" applyFont="1" applyFill="1" applyBorder="1"/>
    <xf numFmtId="0" fontId="15" fillId="30" borderId="59" xfId="0" applyFont="1" applyFill="1" applyBorder="1"/>
    <xf numFmtId="0" fontId="15" fillId="30" borderId="60" xfId="0" applyNumberFormat="1" applyFont="1" applyFill="1" applyBorder="1" applyAlignment="1">
      <alignment horizontal="center"/>
    </xf>
    <xf numFmtId="0" fontId="15" fillId="30" borderId="61" xfId="0" applyNumberFormat="1" applyFont="1" applyFill="1" applyBorder="1" applyAlignment="1">
      <alignment horizontal="center"/>
    </xf>
    <xf numFmtId="0" fontId="15" fillId="30" borderId="60" xfId="0" applyFont="1" applyFill="1" applyBorder="1"/>
    <xf numFmtId="0" fontId="15" fillId="30" borderId="61" xfId="0" applyFont="1" applyFill="1" applyBorder="1"/>
    <xf numFmtId="0" fontId="54" fillId="30" borderId="59" xfId="0" applyFont="1" applyFill="1" applyBorder="1"/>
    <xf numFmtId="0" fontId="54" fillId="30" borderId="61" xfId="0" applyFont="1" applyFill="1" applyBorder="1"/>
    <xf numFmtId="4" fontId="15" fillId="30" borderId="60" xfId="0" applyNumberFormat="1" applyFont="1" applyFill="1" applyBorder="1"/>
    <xf numFmtId="4" fontId="54" fillId="30" borderId="61" xfId="0" applyNumberFormat="1" applyFont="1" applyFill="1" applyBorder="1"/>
    <xf numFmtId="0" fontId="15" fillId="30" borderId="60" xfId="0" applyNumberFormat="1" applyFont="1" applyFill="1" applyBorder="1"/>
    <xf numFmtId="0" fontId="15" fillId="30" borderId="61" xfId="0" applyNumberFormat="1" applyFont="1" applyFill="1" applyBorder="1"/>
    <xf numFmtId="0" fontId="15" fillId="30" borderId="51" xfId="0" applyNumberFormat="1" applyFont="1" applyFill="1" applyBorder="1" applyAlignment="1">
      <alignment horizontal="center"/>
    </xf>
    <xf numFmtId="4" fontId="15" fillId="30" borderId="52" xfId="0" applyNumberFormat="1" applyFont="1" applyFill="1" applyBorder="1"/>
    <xf numFmtId="0" fontId="15" fillId="30" borderId="52" xfId="0" applyNumberFormat="1" applyFont="1" applyFill="1" applyBorder="1"/>
    <xf numFmtId="0" fontId="15" fillId="30" borderId="59" xfId="0" applyNumberFormat="1" applyFont="1" applyFill="1" applyBorder="1" applyAlignment="1">
      <alignment horizontal="center"/>
    </xf>
    <xf numFmtId="4" fontId="15" fillId="30" borderId="59" xfId="0" applyNumberFormat="1" applyFont="1" applyFill="1" applyBorder="1"/>
    <xf numFmtId="0" fontId="15" fillId="30" borderId="59" xfId="0" applyNumberFormat="1" applyFont="1" applyFill="1" applyBorder="1"/>
    <xf numFmtId="4" fontId="54" fillId="30" borderId="52" xfId="0" applyNumberFormat="1" applyFont="1" applyFill="1" applyBorder="1"/>
    <xf numFmtId="0" fontId="16" fillId="32" borderId="50" xfId="0" applyFont="1" applyFill="1" applyBorder="1"/>
    <xf numFmtId="0" fontId="16" fillId="32" borderId="50" xfId="0" applyFont="1" applyFill="1" applyBorder="1" applyAlignment="1">
      <alignment horizontal="center"/>
    </xf>
    <xf numFmtId="0" fontId="16" fillId="32" borderId="51" xfId="0" applyFont="1" applyFill="1" applyBorder="1"/>
    <xf numFmtId="0" fontId="16" fillId="32" borderId="52" xfId="0" applyFont="1" applyFill="1" applyBorder="1"/>
    <xf numFmtId="0" fontId="16" fillId="32" borderId="53" xfId="0" applyFont="1" applyFill="1" applyBorder="1"/>
    <xf numFmtId="0" fontId="16" fillId="32" borderId="54" xfId="0" applyFont="1" applyFill="1" applyBorder="1"/>
    <xf numFmtId="0" fontId="16" fillId="32" borderId="55" xfId="0" applyFont="1" applyFill="1" applyBorder="1"/>
    <xf numFmtId="0" fontId="16" fillId="32" borderId="56" xfId="0" applyFont="1" applyFill="1" applyBorder="1"/>
    <xf numFmtId="0" fontId="16" fillId="32" borderId="16" xfId="0" applyNumberFormat="1" applyFont="1" applyFill="1" applyBorder="1"/>
    <xf numFmtId="0" fontId="16" fillId="32" borderId="16" xfId="0" applyNumberFormat="1" applyFont="1" applyFill="1" applyBorder="1" applyAlignment="1">
      <alignment horizontal="center"/>
    </xf>
    <xf numFmtId="0" fontId="54" fillId="32" borderId="52" xfId="0" applyFont="1" applyFill="1" applyBorder="1"/>
    <xf numFmtId="0" fontId="16" fillId="32" borderId="57" xfId="0" applyNumberFormat="1" applyFont="1" applyFill="1" applyBorder="1" applyAlignment="1">
      <alignment horizontal="center"/>
    </xf>
    <xf numFmtId="0" fontId="16" fillId="32" borderId="58" xfId="0" applyFont="1" applyFill="1" applyBorder="1"/>
    <xf numFmtId="0" fontId="16" fillId="32" borderId="54" xfId="0" applyNumberFormat="1" applyFont="1" applyFill="1" applyBorder="1" applyAlignment="1">
      <alignment horizontal="center"/>
    </xf>
    <xf numFmtId="0" fontId="54" fillId="32" borderId="55" xfId="0" applyFont="1" applyFill="1" applyBorder="1"/>
    <xf numFmtId="4" fontId="54" fillId="32" borderId="55" xfId="0" applyNumberFormat="1" applyFont="1" applyFill="1" applyBorder="1"/>
    <xf numFmtId="0" fontId="16" fillId="32" borderId="55" xfId="0" applyNumberFormat="1" applyFont="1" applyFill="1" applyBorder="1"/>
    <xf numFmtId="0" fontId="16" fillId="32" borderId="59" xfId="0" applyFont="1" applyFill="1" applyBorder="1"/>
    <xf numFmtId="0" fontId="16" fillId="32" borderId="60" xfId="0" applyNumberFormat="1" applyFont="1" applyFill="1" applyBorder="1" applyAlignment="1">
      <alignment horizontal="center"/>
    </xf>
    <xf numFmtId="0" fontId="16" fillId="32" borderId="61" xfId="0" applyNumberFormat="1" applyFont="1" applyFill="1" applyBorder="1" applyAlignment="1">
      <alignment horizontal="center"/>
    </xf>
    <xf numFmtId="0" fontId="16" fillId="32" borderId="60" xfId="0" applyFont="1" applyFill="1" applyBorder="1"/>
    <xf numFmtId="0" fontId="16" fillId="32" borderId="61" xfId="0" applyFont="1" applyFill="1" applyBorder="1"/>
    <xf numFmtId="0" fontId="54" fillId="32" borderId="59" xfId="0" applyFont="1" applyFill="1" applyBorder="1"/>
    <xf numFmtId="0" fontId="54" fillId="32" borderId="61" xfId="0" applyFont="1" applyFill="1" applyBorder="1"/>
    <xf numFmtId="4" fontId="16" fillId="32" borderId="60" xfId="0" applyNumberFormat="1" applyFont="1" applyFill="1" applyBorder="1"/>
    <xf numFmtId="4" fontId="54" fillId="32" borderId="61" xfId="0" applyNumberFormat="1" applyFont="1" applyFill="1" applyBorder="1"/>
    <xf numFmtId="0" fontId="16" fillId="32" borderId="60" xfId="0" applyNumberFormat="1" applyFont="1" applyFill="1" applyBorder="1"/>
    <xf numFmtId="0" fontId="16" fillId="32" borderId="61" xfId="0" applyNumberFormat="1" applyFont="1" applyFill="1" applyBorder="1"/>
    <xf numFmtId="0" fontId="16" fillId="32" borderId="51" xfId="0" applyNumberFormat="1" applyFont="1" applyFill="1" applyBorder="1" applyAlignment="1">
      <alignment horizontal="center"/>
    </xf>
    <xf numFmtId="4" fontId="16" fillId="32" borderId="52" xfId="0" applyNumberFormat="1" applyFont="1" applyFill="1" applyBorder="1"/>
    <xf numFmtId="0" fontId="16" fillId="32" borderId="52" xfId="0" applyNumberFormat="1" applyFont="1" applyFill="1" applyBorder="1"/>
    <xf numFmtId="0" fontId="16" fillId="32" borderId="59" xfId="0" applyNumberFormat="1" applyFont="1" applyFill="1" applyBorder="1" applyAlignment="1">
      <alignment horizontal="center"/>
    </xf>
    <xf numFmtId="4" fontId="16" fillId="32" borderId="59" xfId="0" applyNumberFormat="1" applyFont="1" applyFill="1" applyBorder="1"/>
    <xf numFmtId="0" fontId="16" fillId="32" borderId="59" xfId="0" applyNumberFormat="1" applyFont="1" applyFill="1" applyBorder="1"/>
    <xf numFmtId="4" fontId="54" fillId="32" borderId="52" xfId="0" applyNumberFormat="1" applyFont="1" applyFill="1" applyBorder="1"/>
    <xf numFmtId="0" fontId="17" fillId="34" borderId="50" xfId="0" applyFont="1" applyFill="1" applyBorder="1"/>
    <xf numFmtId="0" fontId="17" fillId="34" borderId="50" xfId="0" applyFont="1" applyFill="1" applyBorder="1" applyAlignment="1">
      <alignment horizontal="center"/>
    </xf>
    <xf numFmtId="0" fontId="17" fillId="34" borderId="51" xfId="0" applyFont="1" applyFill="1" applyBorder="1"/>
    <xf numFmtId="0" fontId="17" fillId="34" borderId="52" xfId="0" applyFont="1" applyFill="1" applyBorder="1"/>
    <xf numFmtId="0" fontId="17" fillId="34" borderId="53" xfId="0" applyFont="1" applyFill="1" applyBorder="1"/>
    <xf numFmtId="0" fontId="17" fillId="34" borderId="54" xfId="0" applyFont="1" applyFill="1" applyBorder="1"/>
    <xf numFmtId="0" fontId="17" fillId="34" borderId="55" xfId="0" applyFont="1" applyFill="1" applyBorder="1"/>
    <xf numFmtId="0" fontId="17" fillId="34" borderId="56" xfId="0" applyFont="1" applyFill="1" applyBorder="1"/>
    <xf numFmtId="0" fontId="17" fillId="34" borderId="17" xfId="0" applyNumberFormat="1" applyFont="1" applyFill="1" applyBorder="1"/>
    <xf numFmtId="0" fontId="17" fillId="34" borderId="17" xfId="0" applyNumberFormat="1" applyFont="1" applyFill="1" applyBorder="1" applyAlignment="1">
      <alignment horizontal="center"/>
    </xf>
    <xf numFmtId="0" fontId="54" fillId="34" borderId="52" xfId="0" applyFont="1" applyFill="1" applyBorder="1"/>
    <xf numFmtId="0" fontId="17" fillId="34" borderId="57" xfId="0" applyNumberFormat="1" applyFont="1" applyFill="1" applyBorder="1" applyAlignment="1">
      <alignment horizontal="center"/>
    </xf>
    <xf numFmtId="0" fontId="17" fillId="34" borderId="58" xfId="0" applyFont="1" applyFill="1" applyBorder="1"/>
    <xf numFmtId="0" fontId="17" fillId="34" borderId="54" xfId="0" applyNumberFormat="1" applyFont="1" applyFill="1" applyBorder="1" applyAlignment="1">
      <alignment horizontal="center"/>
    </xf>
    <xf numFmtId="0" fontId="54" fillId="34" borderId="55" xfId="0" applyFont="1" applyFill="1" applyBorder="1"/>
    <xf numFmtId="4" fontId="54" fillId="34" borderId="55" xfId="0" applyNumberFormat="1" applyFont="1" applyFill="1" applyBorder="1"/>
    <xf numFmtId="0" fontId="17" fillId="34" borderId="55" xfId="0" applyNumberFormat="1" applyFont="1" applyFill="1" applyBorder="1"/>
    <xf numFmtId="0" fontId="17" fillId="34" borderId="59" xfId="0" applyFont="1" applyFill="1" applyBorder="1"/>
    <xf numFmtId="0" fontId="17" fillId="34" borderId="60" xfId="0" applyNumberFormat="1" applyFont="1" applyFill="1" applyBorder="1" applyAlignment="1">
      <alignment horizontal="center"/>
    </xf>
    <xf numFmtId="0" fontId="17" fillId="34" borderId="61" xfId="0" applyNumberFormat="1" applyFont="1" applyFill="1" applyBorder="1" applyAlignment="1">
      <alignment horizontal="center"/>
    </xf>
    <xf numFmtId="0" fontId="17" fillId="34" borderId="60" xfId="0" applyFont="1" applyFill="1" applyBorder="1"/>
    <xf numFmtId="0" fontId="17" fillId="34" borderId="61" xfId="0" applyFont="1" applyFill="1" applyBorder="1"/>
    <xf numFmtId="0" fontId="54" fillId="34" borderId="59" xfId="0" applyFont="1" applyFill="1" applyBorder="1"/>
    <xf numFmtId="0" fontId="54" fillId="34" borderId="61" xfId="0" applyFont="1" applyFill="1" applyBorder="1"/>
    <xf numFmtId="4" fontId="17" fillId="34" borderId="60" xfId="0" applyNumberFormat="1" applyFont="1" applyFill="1" applyBorder="1"/>
    <xf numFmtId="4" fontId="54" fillId="34" borderId="61" xfId="0" applyNumberFormat="1" applyFont="1" applyFill="1" applyBorder="1"/>
    <xf numFmtId="0" fontId="17" fillId="34" borderId="60" xfId="0" applyNumberFormat="1" applyFont="1" applyFill="1" applyBorder="1"/>
    <xf numFmtId="0" fontId="17" fillId="34" borderId="61" xfId="0" applyNumberFormat="1" applyFont="1" applyFill="1" applyBorder="1"/>
    <xf numFmtId="0" fontId="17" fillId="34" borderId="51" xfId="0" applyNumberFormat="1" applyFont="1" applyFill="1" applyBorder="1" applyAlignment="1">
      <alignment horizontal="center"/>
    </xf>
    <xf numFmtId="4" fontId="17" fillId="34" borderId="52" xfId="0" applyNumberFormat="1" applyFont="1" applyFill="1" applyBorder="1"/>
    <xf numFmtId="0" fontId="17" fillId="34" borderId="52" xfId="0" applyNumberFormat="1" applyFont="1" applyFill="1" applyBorder="1"/>
    <xf numFmtId="0" fontId="17" fillId="34" borderId="59" xfId="0" applyNumberFormat="1" applyFont="1" applyFill="1" applyBorder="1" applyAlignment="1">
      <alignment horizontal="center"/>
    </xf>
    <xf numFmtId="4" fontId="17" fillId="34" borderId="59" xfId="0" applyNumberFormat="1" applyFont="1" applyFill="1" applyBorder="1"/>
    <xf numFmtId="0" fontId="17" fillId="34" borderId="59" xfId="0" applyNumberFormat="1" applyFont="1" applyFill="1" applyBorder="1"/>
    <xf numFmtId="4" fontId="54" fillId="34" borderId="52" xfId="0" applyNumberFormat="1" applyFont="1" applyFill="1" applyBorder="1"/>
    <xf numFmtId="0" fontId="18" fillId="36" borderId="50" xfId="0" applyFont="1" applyFill="1" applyBorder="1"/>
    <xf numFmtId="0" fontId="18" fillId="36" borderId="50" xfId="0" applyFont="1" applyFill="1" applyBorder="1" applyAlignment="1">
      <alignment horizontal="center"/>
    </xf>
    <xf numFmtId="0" fontId="18" fillId="36" borderId="51" xfId="0" applyFont="1" applyFill="1" applyBorder="1"/>
    <xf numFmtId="0" fontId="18" fillId="36" borderId="52" xfId="0" applyFont="1" applyFill="1" applyBorder="1"/>
    <xf numFmtId="0" fontId="18" fillId="36" borderId="53" xfId="0" applyFont="1" applyFill="1" applyBorder="1"/>
    <xf numFmtId="0" fontId="18" fillId="36" borderId="54" xfId="0" applyFont="1" applyFill="1" applyBorder="1"/>
    <xf numFmtId="0" fontId="18" fillId="36" borderId="55" xfId="0" applyFont="1" applyFill="1" applyBorder="1"/>
    <xf numFmtId="0" fontId="18" fillId="36" borderId="56" xfId="0" applyFont="1" applyFill="1" applyBorder="1"/>
    <xf numFmtId="0" fontId="18" fillId="36" borderId="18" xfId="0" applyNumberFormat="1" applyFont="1" applyFill="1" applyBorder="1"/>
    <xf numFmtId="0" fontId="18" fillId="36" borderId="18" xfId="0" applyNumberFormat="1" applyFont="1" applyFill="1" applyBorder="1" applyAlignment="1">
      <alignment horizontal="center"/>
    </xf>
    <xf numFmtId="0" fontId="54" fillId="36" borderId="52" xfId="0" applyFont="1" applyFill="1" applyBorder="1"/>
    <xf numFmtId="0" fontId="18" fillId="36" borderId="57" xfId="0" applyNumberFormat="1" applyFont="1" applyFill="1" applyBorder="1" applyAlignment="1">
      <alignment horizontal="center"/>
    </xf>
    <xf numFmtId="0" fontId="18" fillId="36" borderId="58" xfId="0" applyFont="1" applyFill="1" applyBorder="1"/>
    <xf numFmtId="0" fontId="18" fillId="36" borderId="54" xfId="0" applyNumberFormat="1" applyFont="1" applyFill="1" applyBorder="1" applyAlignment="1">
      <alignment horizontal="center"/>
    </xf>
    <xf numFmtId="0" fontId="54" fillId="36" borderId="55" xfId="0" applyFont="1" applyFill="1" applyBorder="1"/>
    <xf numFmtId="4" fontId="54" fillId="36" borderId="55" xfId="0" applyNumberFormat="1" applyFont="1" applyFill="1" applyBorder="1"/>
    <xf numFmtId="0" fontId="18" fillId="36" borderId="55" xfId="0" applyNumberFormat="1" applyFont="1" applyFill="1" applyBorder="1"/>
    <xf numFmtId="0" fontId="18" fillId="36" borderId="59" xfId="0" applyFont="1" applyFill="1" applyBorder="1"/>
    <xf numFmtId="0" fontId="18" fillId="36" borderId="60" xfId="0" applyNumberFormat="1" applyFont="1" applyFill="1" applyBorder="1" applyAlignment="1">
      <alignment horizontal="center"/>
    </xf>
    <xf numFmtId="0" fontId="18" fillId="36" borderId="61" xfId="0" applyNumberFormat="1" applyFont="1" applyFill="1" applyBorder="1" applyAlignment="1">
      <alignment horizontal="center"/>
    </xf>
    <xf numFmtId="0" fontId="18" fillId="36" borderId="60" xfId="0" applyFont="1" applyFill="1" applyBorder="1"/>
    <xf numFmtId="0" fontId="18" fillId="36" borderId="61" xfId="0" applyFont="1" applyFill="1" applyBorder="1"/>
    <xf numFmtId="0" fontId="54" fillId="36" borderId="59" xfId="0" applyFont="1" applyFill="1" applyBorder="1"/>
    <xf numFmtId="0" fontId="54" fillId="36" borderId="61" xfId="0" applyFont="1" applyFill="1" applyBorder="1"/>
    <xf numFmtId="4" fontId="18" fillId="36" borderId="60" xfId="0" applyNumberFormat="1" applyFont="1" applyFill="1" applyBorder="1"/>
    <xf numFmtId="4" fontId="54" fillId="36" borderId="61" xfId="0" applyNumberFormat="1" applyFont="1" applyFill="1" applyBorder="1"/>
    <xf numFmtId="0" fontId="18" fillId="36" borderId="60" xfId="0" applyNumberFormat="1" applyFont="1" applyFill="1" applyBorder="1"/>
    <xf numFmtId="0" fontId="18" fillId="36" borderId="61" xfId="0" applyNumberFormat="1" applyFont="1" applyFill="1" applyBorder="1"/>
    <xf numFmtId="0" fontId="18" fillId="36" borderId="51" xfId="0" applyNumberFormat="1" applyFont="1" applyFill="1" applyBorder="1" applyAlignment="1">
      <alignment horizontal="center"/>
    </xf>
    <xf numFmtId="4" fontId="18" fillId="36" borderId="52" xfId="0" applyNumberFormat="1" applyFont="1" applyFill="1" applyBorder="1"/>
    <xf numFmtId="0" fontId="18" fillId="36" borderId="52" xfId="0" applyNumberFormat="1" applyFont="1" applyFill="1" applyBorder="1"/>
    <xf numFmtId="0" fontId="18" fillId="36" borderId="59" xfId="0" applyNumberFormat="1" applyFont="1" applyFill="1" applyBorder="1" applyAlignment="1">
      <alignment horizontal="center"/>
    </xf>
    <xf numFmtId="4" fontId="18" fillId="36" borderId="59" xfId="0" applyNumberFormat="1" applyFont="1" applyFill="1" applyBorder="1"/>
    <xf numFmtId="0" fontId="18" fillId="36" borderId="59" xfId="0" applyNumberFormat="1" applyFont="1" applyFill="1" applyBorder="1"/>
    <xf numFmtId="4" fontId="54" fillId="36" borderId="52" xfId="0" applyNumberFormat="1" applyFont="1" applyFill="1" applyBorder="1"/>
    <xf numFmtId="0" fontId="19" fillId="38" borderId="50" xfId="0" applyFont="1" applyFill="1" applyBorder="1"/>
    <xf numFmtId="0" fontId="19" fillId="38" borderId="50" xfId="0" applyFont="1" applyFill="1" applyBorder="1" applyAlignment="1">
      <alignment horizontal="center"/>
    </xf>
    <xf numFmtId="0" fontId="19" fillId="38" borderId="51" xfId="0" applyFont="1" applyFill="1" applyBorder="1"/>
    <xf numFmtId="0" fontId="19" fillId="38" borderId="52" xfId="0" applyFont="1" applyFill="1" applyBorder="1"/>
    <xf numFmtId="0" fontId="19" fillId="38" borderId="53" xfId="0" applyFont="1" applyFill="1" applyBorder="1"/>
    <xf numFmtId="0" fontId="19" fillId="38" borderId="54" xfId="0" applyFont="1" applyFill="1" applyBorder="1"/>
    <xf numFmtId="0" fontId="19" fillId="38" borderId="55" xfId="0" applyFont="1" applyFill="1" applyBorder="1"/>
    <xf numFmtId="0" fontId="19" fillId="38" borderId="56" xfId="0" applyFont="1" applyFill="1" applyBorder="1"/>
    <xf numFmtId="0" fontId="19" fillId="38" borderId="19" xfId="0" applyNumberFormat="1" applyFont="1" applyFill="1" applyBorder="1"/>
    <xf numFmtId="0" fontId="19" fillId="38" borderId="19" xfId="0" applyNumberFormat="1" applyFont="1" applyFill="1" applyBorder="1" applyAlignment="1">
      <alignment horizontal="center"/>
    </xf>
    <xf numFmtId="0" fontId="54" fillId="38" borderId="52" xfId="0" applyFont="1" applyFill="1" applyBorder="1"/>
    <xf numFmtId="0" fontId="19" fillId="38" borderId="57" xfId="0" applyNumberFormat="1" applyFont="1" applyFill="1" applyBorder="1" applyAlignment="1">
      <alignment horizontal="center"/>
    </xf>
    <xf numFmtId="0" fontId="19" fillId="38" borderId="58" xfId="0" applyFont="1" applyFill="1" applyBorder="1"/>
    <xf numFmtId="0" fontId="19" fillId="38" borderId="54" xfId="0" applyNumberFormat="1" applyFont="1" applyFill="1" applyBorder="1" applyAlignment="1">
      <alignment horizontal="center"/>
    </xf>
    <xf numFmtId="0" fontId="54" fillId="38" borderId="55" xfId="0" applyFont="1" applyFill="1" applyBorder="1"/>
    <xf numFmtId="4" fontId="54" fillId="38" borderId="55" xfId="0" applyNumberFormat="1" applyFont="1" applyFill="1" applyBorder="1"/>
    <xf numFmtId="0" fontId="19" fillId="38" borderId="55" xfId="0" applyNumberFormat="1" applyFont="1" applyFill="1" applyBorder="1"/>
    <xf numFmtId="0" fontId="19" fillId="38" borderId="59" xfId="0" applyFont="1" applyFill="1" applyBorder="1"/>
    <xf numFmtId="0" fontId="19" fillId="38" borderId="60" xfId="0" applyNumberFormat="1" applyFont="1" applyFill="1" applyBorder="1" applyAlignment="1">
      <alignment horizontal="center"/>
    </xf>
    <xf numFmtId="0" fontId="19" fillId="38" borderId="61" xfId="0" applyNumberFormat="1" applyFont="1" applyFill="1" applyBorder="1" applyAlignment="1">
      <alignment horizontal="center"/>
    </xf>
    <xf numFmtId="0" fontId="19" fillId="38" borderId="60" xfId="0" applyFont="1" applyFill="1" applyBorder="1"/>
    <xf numFmtId="0" fontId="19" fillId="38" borderId="61" xfId="0" applyFont="1" applyFill="1" applyBorder="1"/>
    <xf numFmtId="0" fontId="54" fillId="38" borderId="59" xfId="0" applyFont="1" applyFill="1" applyBorder="1"/>
    <xf numFmtId="0" fontId="54" fillId="38" borderId="61" xfId="0" applyFont="1" applyFill="1" applyBorder="1"/>
    <xf numFmtId="4" fontId="19" fillId="38" borderId="60" xfId="0" applyNumberFormat="1" applyFont="1" applyFill="1" applyBorder="1"/>
    <xf numFmtId="4" fontId="54" fillId="38" borderId="61" xfId="0" applyNumberFormat="1" applyFont="1" applyFill="1" applyBorder="1"/>
    <xf numFmtId="0" fontId="19" fillId="38" borderId="60" xfId="0" applyNumberFormat="1" applyFont="1" applyFill="1" applyBorder="1"/>
    <xf numFmtId="0" fontId="19" fillId="38" borderId="61" xfId="0" applyNumberFormat="1" applyFont="1" applyFill="1" applyBorder="1"/>
    <xf numFmtId="0" fontId="19" fillId="38" borderId="51" xfId="0" applyNumberFormat="1" applyFont="1" applyFill="1" applyBorder="1" applyAlignment="1">
      <alignment horizontal="center"/>
    </xf>
    <xf numFmtId="4" fontId="19" fillId="38" borderId="52" xfId="0" applyNumberFormat="1" applyFont="1" applyFill="1" applyBorder="1"/>
    <xf numFmtId="0" fontId="19" fillId="38" borderId="52" xfId="0" applyNumberFormat="1" applyFont="1" applyFill="1" applyBorder="1"/>
    <xf numFmtId="0" fontId="19" fillId="38" borderId="59" xfId="0" applyNumberFormat="1" applyFont="1" applyFill="1" applyBorder="1" applyAlignment="1">
      <alignment horizontal="center"/>
    </xf>
    <xf numFmtId="4" fontId="19" fillId="38" borderId="59" xfId="0" applyNumberFormat="1" applyFont="1" applyFill="1" applyBorder="1"/>
    <xf numFmtId="0" fontId="19" fillId="38" borderId="59" xfId="0" applyNumberFormat="1" applyFont="1" applyFill="1" applyBorder="1"/>
    <xf numFmtId="4" fontId="54" fillId="38" borderId="52" xfId="0" applyNumberFormat="1" applyFont="1" applyFill="1" applyBorder="1"/>
    <xf numFmtId="0" fontId="20" fillId="40" borderId="50" xfId="0" applyFont="1" applyFill="1" applyBorder="1"/>
    <xf numFmtId="0" fontId="20" fillId="40" borderId="50" xfId="0" applyFont="1" applyFill="1" applyBorder="1" applyAlignment="1">
      <alignment horizontal="center"/>
    </xf>
    <xf numFmtId="0" fontId="20" fillId="40" borderId="51" xfId="0" applyFont="1" applyFill="1" applyBorder="1"/>
    <xf numFmtId="0" fontId="20" fillId="40" borderId="52" xfId="0" applyFont="1" applyFill="1" applyBorder="1"/>
    <xf numFmtId="0" fontId="20" fillId="40" borderId="53" xfId="0" applyFont="1" applyFill="1" applyBorder="1"/>
    <xf numFmtId="0" fontId="20" fillId="40" borderId="54" xfId="0" applyFont="1" applyFill="1" applyBorder="1"/>
    <xf numFmtId="0" fontId="20" fillId="40" borderId="55" xfId="0" applyFont="1" applyFill="1" applyBorder="1"/>
    <xf numFmtId="0" fontId="20" fillId="40" borderId="56" xfId="0" applyFont="1" applyFill="1" applyBorder="1"/>
    <xf numFmtId="0" fontId="20" fillId="40" borderId="20" xfId="0" applyNumberFormat="1" applyFont="1" applyFill="1" applyBorder="1"/>
    <xf numFmtId="0" fontId="20" fillId="40" borderId="20" xfId="0" applyNumberFormat="1" applyFont="1" applyFill="1" applyBorder="1" applyAlignment="1">
      <alignment horizontal="center"/>
    </xf>
    <xf numFmtId="0" fontId="54" fillId="40" borderId="52" xfId="0" applyFont="1" applyFill="1" applyBorder="1"/>
    <xf numFmtId="0" fontId="20" fillId="40" borderId="57" xfId="0" applyNumberFormat="1" applyFont="1" applyFill="1" applyBorder="1" applyAlignment="1">
      <alignment horizontal="center"/>
    </xf>
    <xf numFmtId="0" fontId="20" fillId="40" borderId="58" xfId="0" applyFont="1" applyFill="1" applyBorder="1"/>
    <xf numFmtId="0" fontId="20" fillId="40" borderId="54" xfId="0" applyNumberFormat="1" applyFont="1" applyFill="1" applyBorder="1" applyAlignment="1">
      <alignment horizontal="center"/>
    </xf>
    <xf numFmtId="0" fontId="54" fillId="40" borderId="55" xfId="0" applyFont="1" applyFill="1" applyBorder="1"/>
    <xf numFmtId="4" fontId="54" fillId="40" borderId="55" xfId="0" applyNumberFormat="1" applyFont="1" applyFill="1" applyBorder="1"/>
    <xf numFmtId="0" fontId="20" fillId="40" borderId="55" xfId="0" applyNumberFormat="1" applyFont="1" applyFill="1" applyBorder="1"/>
    <xf numFmtId="0" fontId="20" fillId="40" borderId="59" xfId="0" applyFont="1" applyFill="1" applyBorder="1"/>
    <xf numFmtId="0" fontId="20" fillId="40" borderId="60" xfId="0" applyNumberFormat="1" applyFont="1" applyFill="1" applyBorder="1" applyAlignment="1">
      <alignment horizontal="center"/>
    </xf>
    <xf numFmtId="0" fontId="20" fillId="40" borderId="61" xfId="0" applyNumberFormat="1" applyFont="1" applyFill="1" applyBorder="1" applyAlignment="1">
      <alignment horizontal="center"/>
    </xf>
    <xf numFmtId="0" fontId="20" fillId="40" borderId="60" xfId="0" applyFont="1" applyFill="1" applyBorder="1"/>
    <xf numFmtId="0" fontId="20" fillId="40" borderId="61" xfId="0" applyFont="1" applyFill="1" applyBorder="1"/>
    <xf numFmtId="0" fontId="54" fillId="40" borderId="59" xfId="0" applyFont="1" applyFill="1" applyBorder="1"/>
    <xf numFmtId="0" fontId="54" fillId="40" borderId="61" xfId="0" applyFont="1" applyFill="1" applyBorder="1"/>
    <xf numFmtId="4" fontId="20" fillId="40" borderId="60" xfId="0" applyNumberFormat="1" applyFont="1" applyFill="1" applyBorder="1"/>
    <xf numFmtId="4" fontId="54" fillId="40" borderId="61" xfId="0" applyNumberFormat="1" applyFont="1" applyFill="1" applyBorder="1"/>
    <xf numFmtId="0" fontId="20" fillId="40" borderId="60" xfId="0" applyNumberFormat="1" applyFont="1" applyFill="1" applyBorder="1"/>
    <xf numFmtId="0" fontId="20" fillId="40" borderId="61" xfId="0" applyNumberFormat="1" applyFont="1" applyFill="1" applyBorder="1"/>
    <xf numFmtId="0" fontId="20" fillId="40" borderId="51" xfId="0" applyNumberFormat="1" applyFont="1" applyFill="1" applyBorder="1" applyAlignment="1">
      <alignment horizontal="center"/>
    </xf>
    <xf numFmtId="4" fontId="20" fillId="40" borderId="52" xfId="0" applyNumberFormat="1" applyFont="1" applyFill="1" applyBorder="1"/>
    <xf numFmtId="0" fontId="20" fillId="40" borderId="52" xfId="0" applyNumberFormat="1" applyFont="1" applyFill="1" applyBorder="1"/>
    <xf numFmtId="0" fontId="20" fillId="40" borderId="59" xfId="0" applyNumberFormat="1" applyFont="1" applyFill="1" applyBorder="1" applyAlignment="1">
      <alignment horizontal="center"/>
    </xf>
    <xf numFmtId="4" fontId="20" fillId="40" borderId="59" xfId="0" applyNumberFormat="1" applyFont="1" applyFill="1" applyBorder="1"/>
    <xf numFmtId="0" fontId="20" fillId="40" borderId="59" xfId="0" applyNumberFormat="1" applyFont="1" applyFill="1" applyBorder="1"/>
    <xf numFmtId="4" fontId="54" fillId="40" borderId="52" xfId="0" applyNumberFormat="1" applyFont="1" applyFill="1" applyBorder="1"/>
    <xf numFmtId="0" fontId="21" fillId="42" borderId="50" xfId="0" applyFont="1" applyFill="1" applyBorder="1"/>
    <xf numFmtId="0" fontId="21" fillId="42" borderId="50" xfId="0" applyFont="1" applyFill="1" applyBorder="1" applyAlignment="1">
      <alignment horizontal="center"/>
    </xf>
    <xf numFmtId="0" fontId="21" fillId="42" borderId="51" xfId="0" applyFont="1" applyFill="1" applyBorder="1"/>
    <xf numFmtId="0" fontId="21" fillId="42" borderId="52" xfId="0" applyFont="1" applyFill="1" applyBorder="1"/>
    <xf numFmtId="0" fontId="21" fillId="42" borderId="53" xfId="0" applyFont="1" applyFill="1" applyBorder="1"/>
    <xf numFmtId="0" fontId="21" fillId="42" borderId="54" xfId="0" applyFont="1" applyFill="1" applyBorder="1"/>
    <xf numFmtId="0" fontId="21" fillId="42" borderId="55" xfId="0" applyFont="1" applyFill="1" applyBorder="1"/>
    <xf numFmtId="0" fontId="21" fillId="42" borderId="56" xfId="0" applyFont="1" applyFill="1" applyBorder="1"/>
    <xf numFmtId="0" fontId="21" fillId="42" borderId="21" xfId="0" applyNumberFormat="1" applyFont="1" applyFill="1" applyBorder="1"/>
    <xf numFmtId="0" fontId="21" fillId="42" borderId="21" xfId="0" applyNumberFormat="1" applyFont="1" applyFill="1" applyBorder="1" applyAlignment="1">
      <alignment horizontal="center"/>
    </xf>
    <xf numFmtId="0" fontId="54" fillId="42" borderId="52" xfId="0" applyFont="1" applyFill="1" applyBorder="1"/>
    <xf numFmtId="0" fontId="21" fillId="42" borderId="57" xfId="0" applyNumberFormat="1" applyFont="1" applyFill="1" applyBorder="1" applyAlignment="1">
      <alignment horizontal="center"/>
    </xf>
    <xf numFmtId="0" fontId="21" fillId="42" borderId="58" xfId="0" applyFont="1" applyFill="1" applyBorder="1"/>
    <xf numFmtId="0" fontId="21" fillId="42" borderId="54" xfId="0" applyNumberFormat="1" applyFont="1" applyFill="1" applyBorder="1" applyAlignment="1">
      <alignment horizontal="center"/>
    </xf>
    <xf numFmtId="0" fontId="54" fillId="42" borderId="55" xfId="0" applyFont="1" applyFill="1" applyBorder="1"/>
    <xf numFmtId="4" fontId="54" fillId="42" borderId="55" xfId="0" applyNumberFormat="1" applyFont="1" applyFill="1" applyBorder="1"/>
    <xf numFmtId="0" fontId="21" fillId="42" borderId="55" xfId="0" applyNumberFormat="1" applyFont="1" applyFill="1" applyBorder="1"/>
    <xf numFmtId="0" fontId="21" fillId="42" borderId="59" xfId="0" applyFont="1" applyFill="1" applyBorder="1"/>
    <xf numFmtId="0" fontId="21" fillId="42" borderId="60" xfId="0" applyNumberFormat="1" applyFont="1" applyFill="1" applyBorder="1" applyAlignment="1">
      <alignment horizontal="center"/>
    </xf>
    <xf numFmtId="0" fontId="21" fillId="42" borderId="61" xfId="0" applyNumberFormat="1" applyFont="1" applyFill="1" applyBorder="1" applyAlignment="1">
      <alignment horizontal="center"/>
    </xf>
    <xf numFmtId="0" fontId="21" fillId="42" borderId="60" xfId="0" applyFont="1" applyFill="1" applyBorder="1"/>
    <xf numFmtId="0" fontId="21" fillId="42" borderId="61" xfId="0" applyFont="1" applyFill="1" applyBorder="1"/>
    <xf numFmtId="0" fontId="54" fillId="42" borderId="59" xfId="0" applyFont="1" applyFill="1" applyBorder="1"/>
    <xf numFmtId="0" fontId="54" fillId="42" borderId="61" xfId="0" applyFont="1" applyFill="1" applyBorder="1"/>
    <xf numFmtId="4" fontId="21" fillId="42" borderId="60" xfId="0" applyNumberFormat="1" applyFont="1" applyFill="1" applyBorder="1"/>
    <xf numFmtId="4" fontId="54" fillId="42" borderId="61" xfId="0" applyNumberFormat="1" applyFont="1" applyFill="1" applyBorder="1"/>
    <xf numFmtId="0" fontId="21" fillId="42" borderId="60" xfId="0" applyNumberFormat="1" applyFont="1" applyFill="1" applyBorder="1"/>
    <xf numFmtId="0" fontId="21" fillId="42" borderId="61" xfId="0" applyNumberFormat="1" applyFont="1" applyFill="1" applyBorder="1"/>
    <xf numFmtId="0" fontId="21" fillId="42" borderId="51" xfId="0" applyNumberFormat="1" applyFont="1" applyFill="1" applyBorder="1" applyAlignment="1">
      <alignment horizontal="center"/>
    </xf>
    <xf numFmtId="4" fontId="21" fillId="42" borderId="52" xfId="0" applyNumberFormat="1" applyFont="1" applyFill="1" applyBorder="1"/>
    <xf numFmtId="0" fontId="21" fillId="42" borderId="52" xfId="0" applyNumberFormat="1" applyFont="1" applyFill="1" applyBorder="1"/>
    <xf numFmtId="0" fontId="21" fillId="42" borderId="59" xfId="0" applyNumberFormat="1" applyFont="1" applyFill="1" applyBorder="1" applyAlignment="1">
      <alignment horizontal="center"/>
    </xf>
    <xf numFmtId="4" fontId="21" fillId="42" borderId="59" xfId="0" applyNumberFormat="1" applyFont="1" applyFill="1" applyBorder="1"/>
    <xf numFmtId="0" fontId="21" fillId="42" borderId="59" xfId="0" applyNumberFormat="1" applyFont="1" applyFill="1" applyBorder="1"/>
    <xf numFmtId="4" fontId="54" fillId="42" borderId="52" xfId="0" applyNumberFormat="1" applyFont="1" applyFill="1" applyBorder="1"/>
    <xf numFmtId="0" fontId="22" fillId="44" borderId="50" xfId="0" applyFont="1" applyFill="1" applyBorder="1"/>
    <xf numFmtId="0" fontId="22" fillId="44" borderId="50" xfId="0" applyFont="1" applyFill="1" applyBorder="1" applyAlignment="1">
      <alignment horizontal="center"/>
    </xf>
    <xf numFmtId="0" fontId="22" fillId="44" borderId="51" xfId="0" applyFont="1" applyFill="1" applyBorder="1"/>
    <xf numFmtId="0" fontId="22" fillId="44" borderId="52" xfId="0" applyFont="1" applyFill="1" applyBorder="1"/>
    <xf numFmtId="0" fontId="22" fillId="44" borderId="53" xfId="0" applyFont="1" applyFill="1" applyBorder="1"/>
    <xf numFmtId="0" fontId="22" fillId="44" borderId="54" xfId="0" applyFont="1" applyFill="1" applyBorder="1"/>
    <xf numFmtId="0" fontId="22" fillId="44" borderId="55" xfId="0" applyFont="1" applyFill="1" applyBorder="1"/>
    <xf numFmtId="0" fontId="22" fillId="44" borderId="56" xfId="0" applyFont="1" applyFill="1" applyBorder="1"/>
    <xf numFmtId="0" fontId="22" fillId="44" borderId="22" xfId="0" applyNumberFormat="1" applyFont="1" applyFill="1" applyBorder="1"/>
    <xf numFmtId="0" fontId="22" fillId="44" borderId="22" xfId="0" applyNumberFormat="1" applyFont="1" applyFill="1" applyBorder="1" applyAlignment="1">
      <alignment horizontal="center"/>
    </xf>
    <xf numFmtId="0" fontId="54" fillId="44" borderId="52" xfId="0" applyFont="1" applyFill="1" applyBorder="1"/>
    <xf numFmtId="0" fontId="22" fillId="44" borderId="57" xfId="0" applyNumberFormat="1" applyFont="1" applyFill="1" applyBorder="1" applyAlignment="1">
      <alignment horizontal="center"/>
    </xf>
    <xf numFmtId="0" fontId="22" fillId="44" borderId="58" xfId="0" applyFont="1" applyFill="1" applyBorder="1"/>
    <xf numFmtId="0" fontId="22" fillId="44" borderId="54" xfId="0" applyNumberFormat="1" applyFont="1" applyFill="1" applyBorder="1" applyAlignment="1">
      <alignment horizontal="center"/>
    </xf>
    <xf numFmtId="0" fontId="54" fillId="44" borderId="55" xfId="0" applyFont="1" applyFill="1" applyBorder="1"/>
    <xf numFmtId="4" fontId="54" fillId="44" borderId="55" xfId="0" applyNumberFormat="1" applyFont="1" applyFill="1" applyBorder="1"/>
    <xf numFmtId="0" fontId="22" fillId="44" borderId="55" xfId="0" applyNumberFormat="1" applyFont="1" applyFill="1" applyBorder="1"/>
    <xf numFmtId="0" fontId="22" fillId="44" borderId="59" xfId="0" applyFont="1" applyFill="1" applyBorder="1"/>
    <xf numFmtId="0" fontId="22" fillId="44" borderId="60" xfId="0" applyNumberFormat="1" applyFont="1" applyFill="1" applyBorder="1" applyAlignment="1">
      <alignment horizontal="center"/>
    </xf>
    <xf numFmtId="0" fontId="22" fillId="44" borderId="61" xfId="0" applyNumberFormat="1" applyFont="1" applyFill="1" applyBorder="1" applyAlignment="1">
      <alignment horizontal="center"/>
    </xf>
    <xf numFmtId="0" fontId="22" fillId="44" borderId="60" xfId="0" applyFont="1" applyFill="1" applyBorder="1"/>
    <xf numFmtId="0" fontId="22" fillId="44" borderId="61" xfId="0" applyFont="1" applyFill="1" applyBorder="1"/>
    <xf numFmtId="0" fontId="54" fillId="44" borderId="59" xfId="0" applyFont="1" applyFill="1" applyBorder="1"/>
    <xf numFmtId="0" fontId="54" fillId="44" borderId="61" xfId="0" applyFont="1" applyFill="1" applyBorder="1"/>
    <xf numFmtId="4" fontId="22" fillId="44" borderId="60" xfId="0" applyNumberFormat="1" applyFont="1" applyFill="1" applyBorder="1"/>
    <xf numFmtId="4" fontId="54" fillId="44" borderId="61" xfId="0" applyNumberFormat="1" applyFont="1" applyFill="1" applyBorder="1"/>
    <xf numFmtId="0" fontId="22" fillId="44" borderId="60" xfId="0" applyNumberFormat="1" applyFont="1" applyFill="1" applyBorder="1"/>
    <xf numFmtId="0" fontId="22" fillId="44" borderId="61" xfId="0" applyNumberFormat="1" applyFont="1" applyFill="1" applyBorder="1"/>
    <xf numFmtId="0" fontId="22" fillId="44" borderId="51" xfId="0" applyNumberFormat="1" applyFont="1" applyFill="1" applyBorder="1" applyAlignment="1">
      <alignment horizontal="center"/>
    </xf>
    <xf numFmtId="4" fontId="22" fillId="44" borderId="52" xfId="0" applyNumberFormat="1" applyFont="1" applyFill="1" applyBorder="1"/>
    <xf numFmtId="0" fontId="22" fillId="44" borderId="52" xfId="0" applyNumberFormat="1" applyFont="1" applyFill="1" applyBorder="1"/>
    <xf numFmtId="0" fontId="22" fillId="44" borderId="59" xfId="0" applyNumberFormat="1" applyFont="1" applyFill="1" applyBorder="1" applyAlignment="1">
      <alignment horizontal="center"/>
    </xf>
    <xf numFmtId="4" fontId="22" fillId="44" borderId="59" xfId="0" applyNumberFormat="1" applyFont="1" applyFill="1" applyBorder="1"/>
    <xf numFmtId="0" fontId="22" fillId="44" borderId="59" xfId="0" applyNumberFormat="1" applyFont="1" applyFill="1" applyBorder="1"/>
    <xf numFmtId="4" fontId="54" fillId="44" borderId="52" xfId="0" applyNumberFormat="1" applyFont="1" applyFill="1" applyBorder="1"/>
    <xf numFmtId="0" fontId="23" fillId="46" borderId="50" xfId="0" applyFont="1" applyFill="1" applyBorder="1"/>
    <xf numFmtId="0" fontId="23" fillId="46" borderId="50" xfId="0" applyFont="1" applyFill="1" applyBorder="1" applyAlignment="1">
      <alignment horizontal="center"/>
    </xf>
    <xf numFmtId="0" fontId="23" fillId="46" borderId="51" xfId="0" applyFont="1" applyFill="1" applyBorder="1"/>
    <xf numFmtId="0" fontId="23" fillId="46" borderId="52" xfId="0" applyFont="1" applyFill="1" applyBorder="1"/>
    <xf numFmtId="0" fontId="23" fillId="46" borderId="53" xfId="0" applyFont="1" applyFill="1" applyBorder="1"/>
    <xf numFmtId="0" fontId="23" fillId="46" borderId="54" xfId="0" applyFont="1" applyFill="1" applyBorder="1"/>
    <xf numFmtId="0" fontId="23" fillId="46" borderId="55" xfId="0" applyFont="1" applyFill="1" applyBorder="1"/>
    <xf numFmtId="0" fontId="23" fillId="46" borderId="56" xfId="0" applyFont="1" applyFill="1" applyBorder="1"/>
    <xf numFmtId="0" fontId="23" fillId="46" borderId="23" xfId="0" applyNumberFormat="1" applyFont="1" applyFill="1" applyBorder="1"/>
    <xf numFmtId="0" fontId="23" fillId="46" borderId="23" xfId="0" applyNumberFormat="1" applyFont="1" applyFill="1" applyBorder="1" applyAlignment="1">
      <alignment horizontal="center"/>
    </xf>
    <xf numFmtId="0" fontId="54" fillId="46" borderId="52" xfId="0" applyFont="1" applyFill="1" applyBorder="1"/>
    <xf numFmtId="0" fontId="23" fillId="46" borderId="57" xfId="0" applyNumberFormat="1" applyFont="1" applyFill="1" applyBorder="1" applyAlignment="1">
      <alignment horizontal="center"/>
    </xf>
    <xf numFmtId="0" fontId="23" fillId="46" borderId="58" xfId="0" applyFont="1" applyFill="1" applyBorder="1"/>
    <xf numFmtId="0" fontId="23" fillId="46" borderId="54" xfId="0" applyNumberFormat="1" applyFont="1" applyFill="1" applyBorder="1" applyAlignment="1">
      <alignment horizontal="center"/>
    </xf>
    <xf numFmtId="0" fontId="54" fillId="46" borderId="55" xfId="0" applyFont="1" applyFill="1" applyBorder="1"/>
    <xf numFmtId="4" fontId="54" fillId="46" borderId="55" xfId="0" applyNumberFormat="1" applyFont="1" applyFill="1" applyBorder="1"/>
    <xf numFmtId="0" fontId="23" fillId="46" borderId="55" xfId="0" applyNumberFormat="1" applyFont="1" applyFill="1" applyBorder="1"/>
    <xf numFmtId="0" fontId="23" fillId="46" borderId="59" xfId="0" applyFont="1" applyFill="1" applyBorder="1"/>
    <xf numFmtId="0" fontId="23" fillId="46" borderId="60" xfId="0" applyNumberFormat="1" applyFont="1" applyFill="1" applyBorder="1" applyAlignment="1">
      <alignment horizontal="center"/>
    </xf>
    <xf numFmtId="0" fontId="23" fillId="46" borderId="61" xfId="0" applyNumberFormat="1" applyFont="1" applyFill="1" applyBorder="1" applyAlignment="1">
      <alignment horizontal="center"/>
    </xf>
    <xf numFmtId="0" fontId="23" fillId="46" borderId="60" xfId="0" applyFont="1" applyFill="1" applyBorder="1"/>
    <xf numFmtId="0" fontId="23" fillId="46" borderId="61" xfId="0" applyFont="1" applyFill="1" applyBorder="1"/>
    <xf numFmtId="0" fontId="54" fillId="46" borderId="59" xfId="0" applyFont="1" applyFill="1" applyBorder="1"/>
    <xf numFmtId="0" fontId="54" fillId="46" borderId="61" xfId="0" applyFont="1" applyFill="1" applyBorder="1"/>
    <xf numFmtId="4" fontId="23" fillId="46" borderId="60" xfId="0" applyNumberFormat="1" applyFont="1" applyFill="1" applyBorder="1"/>
    <xf numFmtId="4" fontId="54" fillId="46" borderId="61" xfId="0" applyNumberFormat="1" applyFont="1" applyFill="1" applyBorder="1"/>
    <xf numFmtId="0" fontId="23" fillId="46" borderId="60" xfId="0" applyNumberFormat="1" applyFont="1" applyFill="1" applyBorder="1"/>
    <xf numFmtId="0" fontId="23" fillId="46" borderId="61" xfId="0" applyNumberFormat="1" applyFont="1" applyFill="1" applyBorder="1"/>
    <xf numFmtId="0" fontId="23" fillId="46" borderId="51" xfId="0" applyNumberFormat="1" applyFont="1" applyFill="1" applyBorder="1" applyAlignment="1">
      <alignment horizontal="center"/>
    </xf>
    <xf numFmtId="4" fontId="23" fillId="46" borderId="52" xfId="0" applyNumberFormat="1" applyFont="1" applyFill="1" applyBorder="1"/>
    <xf numFmtId="0" fontId="23" fillId="46" borderId="52" xfId="0" applyNumberFormat="1" applyFont="1" applyFill="1" applyBorder="1"/>
    <xf numFmtId="0" fontId="23" fillId="46" borderId="59" xfId="0" applyNumberFormat="1" applyFont="1" applyFill="1" applyBorder="1" applyAlignment="1">
      <alignment horizontal="center"/>
    </xf>
    <xf numFmtId="4" fontId="23" fillId="46" borderId="59" xfId="0" applyNumberFormat="1" applyFont="1" applyFill="1" applyBorder="1"/>
    <xf numFmtId="0" fontId="23" fillId="46" borderId="59" xfId="0" applyNumberFormat="1" applyFont="1" applyFill="1" applyBorder="1"/>
    <xf numFmtId="4" fontId="54" fillId="46" borderId="52" xfId="0" applyNumberFormat="1" applyFont="1" applyFill="1" applyBorder="1"/>
    <xf numFmtId="0" fontId="24" fillId="48" borderId="50" xfId="0" applyFont="1" applyFill="1" applyBorder="1"/>
    <xf numFmtId="0" fontId="24" fillId="48" borderId="50" xfId="0" applyFont="1" applyFill="1" applyBorder="1" applyAlignment="1">
      <alignment horizontal="center"/>
    </xf>
    <xf numFmtId="0" fontId="24" fillId="48" borderId="51" xfId="0" applyFont="1" applyFill="1" applyBorder="1"/>
    <xf numFmtId="0" fontId="24" fillId="48" borderId="52" xfId="0" applyFont="1" applyFill="1" applyBorder="1"/>
    <xf numFmtId="0" fontId="24" fillId="48" borderId="53" xfId="0" applyFont="1" applyFill="1" applyBorder="1"/>
    <xf numFmtId="0" fontId="24" fillId="48" borderId="54" xfId="0" applyFont="1" applyFill="1" applyBorder="1"/>
    <xf numFmtId="0" fontId="24" fillId="48" borderId="55" xfId="0" applyFont="1" applyFill="1" applyBorder="1"/>
    <xf numFmtId="0" fontId="24" fillId="48" borderId="56" xfId="0" applyFont="1" applyFill="1" applyBorder="1"/>
    <xf numFmtId="0" fontId="24" fillId="48" borderId="24" xfId="0" applyNumberFormat="1" applyFont="1" applyFill="1" applyBorder="1"/>
    <xf numFmtId="0" fontId="24" fillId="48" borderId="24" xfId="0" applyNumberFormat="1" applyFont="1" applyFill="1" applyBorder="1" applyAlignment="1">
      <alignment horizontal="center"/>
    </xf>
    <xf numFmtId="0" fontId="54" fillId="48" borderId="52" xfId="0" applyFont="1" applyFill="1" applyBorder="1"/>
    <xf numFmtId="0" fontId="24" fillId="48" borderId="57" xfId="0" applyNumberFormat="1" applyFont="1" applyFill="1" applyBorder="1" applyAlignment="1">
      <alignment horizontal="center"/>
    </xf>
    <xf numFmtId="0" fontId="24" fillId="48" borderId="58" xfId="0" applyFont="1" applyFill="1" applyBorder="1"/>
    <xf numFmtId="0" fontId="24" fillId="48" borderId="54" xfId="0" applyNumberFormat="1" applyFont="1" applyFill="1" applyBorder="1" applyAlignment="1">
      <alignment horizontal="center"/>
    </xf>
    <xf numFmtId="0" fontId="54" fillId="48" borderId="55" xfId="0" applyFont="1" applyFill="1" applyBorder="1"/>
    <xf numFmtId="4" fontId="54" fillId="48" borderId="55" xfId="0" applyNumberFormat="1" applyFont="1" applyFill="1" applyBorder="1"/>
    <xf numFmtId="0" fontId="24" fillId="48" borderId="55" xfId="0" applyNumberFormat="1" applyFont="1" applyFill="1" applyBorder="1"/>
    <xf numFmtId="0" fontId="24" fillId="48" borderId="59" xfId="0" applyFont="1" applyFill="1" applyBorder="1"/>
    <xf numFmtId="0" fontId="24" fillId="48" borderId="60" xfId="0" applyNumberFormat="1" applyFont="1" applyFill="1" applyBorder="1" applyAlignment="1">
      <alignment horizontal="center"/>
    </xf>
    <xf numFmtId="0" fontId="24" fillId="48" borderId="61" xfId="0" applyNumberFormat="1" applyFont="1" applyFill="1" applyBorder="1" applyAlignment="1">
      <alignment horizontal="center"/>
    </xf>
    <xf numFmtId="0" fontId="24" fillId="48" borderId="60" xfId="0" applyFont="1" applyFill="1" applyBorder="1"/>
    <xf numFmtId="0" fontId="24" fillId="48" borderId="61" xfId="0" applyFont="1" applyFill="1" applyBorder="1"/>
    <xf numFmtId="0" fontId="54" fillId="48" borderId="59" xfId="0" applyFont="1" applyFill="1" applyBorder="1"/>
    <xf numFmtId="0" fontId="54" fillId="48" borderId="61" xfId="0" applyFont="1" applyFill="1" applyBorder="1"/>
    <xf numFmtId="4" fontId="24" fillId="48" borderId="60" xfId="0" applyNumberFormat="1" applyFont="1" applyFill="1" applyBorder="1"/>
    <xf numFmtId="4" fontId="54" fillId="48" borderId="61" xfId="0" applyNumberFormat="1" applyFont="1" applyFill="1" applyBorder="1"/>
    <xf numFmtId="0" fontId="24" fillId="48" borderId="60" xfId="0" applyNumberFormat="1" applyFont="1" applyFill="1" applyBorder="1"/>
    <xf numFmtId="0" fontId="24" fillId="48" borderId="61" xfId="0" applyNumberFormat="1" applyFont="1" applyFill="1" applyBorder="1"/>
    <xf numFmtId="0" fontId="24" fillId="48" borderId="51" xfId="0" applyNumberFormat="1" applyFont="1" applyFill="1" applyBorder="1" applyAlignment="1">
      <alignment horizontal="center"/>
    </xf>
    <xf numFmtId="4" fontId="24" fillId="48" borderId="52" xfId="0" applyNumberFormat="1" applyFont="1" applyFill="1" applyBorder="1"/>
    <xf numFmtId="0" fontId="24" fillId="48" borderId="52" xfId="0" applyNumberFormat="1" applyFont="1" applyFill="1" applyBorder="1"/>
    <xf numFmtId="0" fontId="24" fillId="48" borderId="59" xfId="0" applyNumberFormat="1" applyFont="1" applyFill="1" applyBorder="1" applyAlignment="1">
      <alignment horizontal="center"/>
    </xf>
    <xf numFmtId="4" fontId="24" fillId="48" borderId="59" xfId="0" applyNumberFormat="1" applyFont="1" applyFill="1" applyBorder="1"/>
    <xf numFmtId="0" fontId="24" fillId="48" borderId="59" xfId="0" applyNumberFormat="1" applyFont="1" applyFill="1" applyBorder="1"/>
    <xf numFmtId="4" fontId="54" fillId="48" borderId="52" xfId="0" applyNumberFormat="1" applyFont="1" applyFill="1" applyBorder="1"/>
    <xf numFmtId="0" fontId="25" fillId="50" borderId="50" xfId="0" applyFont="1" applyFill="1" applyBorder="1"/>
    <xf numFmtId="0" fontId="25" fillId="50" borderId="50" xfId="0" applyFont="1" applyFill="1" applyBorder="1" applyAlignment="1">
      <alignment horizontal="center"/>
    </xf>
    <xf numFmtId="0" fontId="25" fillId="50" borderId="51" xfId="0" applyFont="1" applyFill="1" applyBorder="1"/>
    <xf numFmtId="0" fontId="25" fillId="50" borderId="52" xfId="0" applyFont="1" applyFill="1" applyBorder="1"/>
    <xf numFmtId="0" fontId="25" fillId="50" borderId="53" xfId="0" applyFont="1" applyFill="1" applyBorder="1"/>
    <xf numFmtId="0" fontId="25" fillId="50" borderId="54" xfId="0" applyFont="1" applyFill="1" applyBorder="1"/>
    <xf numFmtId="0" fontId="25" fillId="50" borderId="55" xfId="0" applyFont="1" applyFill="1" applyBorder="1"/>
    <xf numFmtId="0" fontId="25" fillId="50" borderId="56" xfId="0" applyFont="1" applyFill="1" applyBorder="1"/>
    <xf numFmtId="0" fontId="25" fillId="50" borderId="25" xfId="0" applyNumberFormat="1" applyFont="1" applyFill="1" applyBorder="1"/>
    <xf numFmtId="0" fontId="25" fillId="50" borderId="25" xfId="0" applyNumberFormat="1" applyFont="1" applyFill="1" applyBorder="1" applyAlignment="1">
      <alignment horizontal="center"/>
    </xf>
    <xf numFmtId="0" fontId="54" fillId="50" borderId="52" xfId="0" applyFont="1" applyFill="1" applyBorder="1"/>
    <xf numFmtId="0" fontId="25" fillId="50" borderId="57" xfId="0" applyNumberFormat="1" applyFont="1" applyFill="1" applyBorder="1" applyAlignment="1">
      <alignment horizontal="center"/>
    </xf>
    <xf numFmtId="0" fontId="25" fillId="50" borderId="58" xfId="0" applyFont="1" applyFill="1" applyBorder="1"/>
    <xf numFmtId="0" fontId="25" fillId="50" borderId="54" xfId="0" applyNumberFormat="1" applyFont="1" applyFill="1" applyBorder="1" applyAlignment="1">
      <alignment horizontal="center"/>
    </xf>
    <xf numFmtId="0" fontId="54" fillId="50" borderId="55" xfId="0" applyFont="1" applyFill="1" applyBorder="1"/>
    <xf numFmtId="4" fontId="54" fillId="50" borderId="55" xfId="0" applyNumberFormat="1" applyFont="1" applyFill="1" applyBorder="1"/>
    <xf numFmtId="0" fontId="25" fillId="50" borderId="55" xfId="0" applyNumberFormat="1" applyFont="1" applyFill="1" applyBorder="1"/>
    <xf numFmtId="0" fontId="25" fillId="50" borderId="59" xfId="0" applyFont="1" applyFill="1" applyBorder="1"/>
    <xf numFmtId="0" fontId="25" fillId="50" borderId="60" xfId="0" applyNumberFormat="1" applyFont="1" applyFill="1" applyBorder="1" applyAlignment="1">
      <alignment horizontal="center"/>
    </xf>
    <xf numFmtId="0" fontId="25" fillId="50" borderId="61" xfId="0" applyNumberFormat="1" applyFont="1" applyFill="1" applyBorder="1" applyAlignment="1">
      <alignment horizontal="center"/>
    </xf>
    <xf numFmtId="0" fontId="25" fillId="50" borderId="60" xfId="0" applyFont="1" applyFill="1" applyBorder="1"/>
    <xf numFmtId="0" fontId="25" fillId="50" borderId="61" xfId="0" applyFont="1" applyFill="1" applyBorder="1"/>
    <xf numFmtId="0" fontId="54" fillId="50" borderId="59" xfId="0" applyFont="1" applyFill="1" applyBorder="1"/>
    <xf numFmtId="0" fontId="54" fillId="50" borderId="61" xfId="0" applyFont="1" applyFill="1" applyBorder="1"/>
    <xf numFmtId="4" fontId="25" fillId="50" borderId="60" xfId="0" applyNumberFormat="1" applyFont="1" applyFill="1" applyBorder="1"/>
    <xf numFmtId="4" fontId="54" fillId="50" borderId="61" xfId="0" applyNumberFormat="1" applyFont="1" applyFill="1" applyBorder="1"/>
    <xf numFmtId="0" fontId="25" fillId="50" borderId="60" xfId="0" applyNumberFormat="1" applyFont="1" applyFill="1" applyBorder="1"/>
    <xf numFmtId="0" fontId="25" fillId="50" borderId="61" xfId="0" applyNumberFormat="1" applyFont="1" applyFill="1" applyBorder="1"/>
    <xf numFmtId="0" fontId="25" fillId="50" borderId="51" xfId="0" applyNumberFormat="1" applyFont="1" applyFill="1" applyBorder="1" applyAlignment="1">
      <alignment horizontal="center"/>
    </xf>
    <xf numFmtId="4" fontId="25" fillId="50" borderId="52" xfId="0" applyNumberFormat="1" applyFont="1" applyFill="1" applyBorder="1"/>
    <xf numFmtId="0" fontId="25" fillId="50" borderId="52" xfId="0" applyNumberFormat="1" applyFont="1" applyFill="1" applyBorder="1"/>
    <xf numFmtId="0" fontId="25" fillId="50" borderId="59" xfId="0" applyNumberFormat="1" applyFont="1" applyFill="1" applyBorder="1" applyAlignment="1">
      <alignment horizontal="center"/>
    </xf>
    <xf numFmtId="4" fontId="25" fillId="50" borderId="59" xfId="0" applyNumberFormat="1" applyFont="1" applyFill="1" applyBorder="1"/>
    <xf numFmtId="0" fontId="25" fillId="50" borderId="59" xfId="0" applyNumberFormat="1" applyFont="1" applyFill="1" applyBorder="1"/>
    <xf numFmtId="4" fontId="54" fillId="50" borderId="52" xfId="0" applyNumberFormat="1" applyFont="1" applyFill="1" applyBorder="1"/>
    <xf numFmtId="0" fontId="26" fillId="52" borderId="50" xfId="0" applyFont="1" applyFill="1" applyBorder="1"/>
    <xf numFmtId="0" fontId="26" fillId="52" borderId="50" xfId="0" applyFont="1" applyFill="1" applyBorder="1" applyAlignment="1">
      <alignment horizontal="center"/>
    </xf>
    <xf numFmtId="0" fontId="26" fillId="52" borderId="51" xfId="0" applyFont="1" applyFill="1" applyBorder="1"/>
    <xf numFmtId="0" fontId="26" fillId="52" borderId="52" xfId="0" applyFont="1" applyFill="1" applyBorder="1"/>
    <xf numFmtId="0" fontId="26" fillId="52" borderId="53" xfId="0" applyFont="1" applyFill="1" applyBorder="1"/>
    <xf numFmtId="0" fontId="26" fillId="52" borderId="54" xfId="0" applyFont="1" applyFill="1" applyBorder="1"/>
    <xf numFmtId="0" fontId="26" fillId="52" borderId="55" xfId="0" applyFont="1" applyFill="1" applyBorder="1"/>
    <xf numFmtId="0" fontId="26" fillId="52" borderId="56" xfId="0" applyFont="1" applyFill="1" applyBorder="1"/>
    <xf numFmtId="0" fontId="26" fillId="52" borderId="26" xfId="0" applyNumberFormat="1" applyFont="1" applyFill="1" applyBorder="1"/>
    <xf numFmtId="0" fontId="26" fillId="52" borderId="26" xfId="0" applyNumberFormat="1" applyFont="1" applyFill="1" applyBorder="1" applyAlignment="1">
      <alignment horizontal="center"/>
    </xf>
    <xf numFmtId="0" fontId="54" fillId="52" borderId="52" xfId="0" applyFont="1" applyFill="1" applyBorder="1"/>
    <xf numFmtId="0" fontId="26" fillId="52" borderId="57" xfId="0" applyNumberFormat="1" applyFont="1" applyFill="1" applyBorder="1" applyAlignment="1">
      <alignment horizontal="center"/>
    </xf>
    <xf numFmtId="0" fontId="26" fillId="52" borderId="58" xfId="0" applyFont="1" applyFill="1" applyBorder="1"/>
    <xf numFmtId="0" fontId="26" fillId="52" borderId="54" xfId="0" applyNumberFormat="1" applyFont="1" applyFill="1" applyBorder="1" applyAlignment="1">
      <alignment horizontal="center"/>
    </xf>
    <xf numFmtId="0" fontId="54" fillId="52" borderId="55" xfId="0" applyFont="1" applyFill="1" applyBorder="1"/>
    <xf numFmtId="4" fontId="54" fillId="52" borderId="55" xfId="0" applyNumberFormat="1" applyFont="1" applyFill="1" applyBorder="1"/>
    <xf numFmtId="0" fontId="26" fillId="52" borderId="55" xfId="0" applyNumberFormat="1" applyFont="1" applyFill="1" applyBorder="1"/>
    <xf numFmtId="0" fontId="26" fillId="52" borderId="59" xfId="0" applyFont="1" applyFill="1" applyBorder="1"/>
    <xf numFmtId="0" fontId="26" fillId="52" borderId="60" xfId="0" applyNumberFormat="1" applyFont="1" applyFill="1" applyBorder="1" applyAlignment="1">
      <alignment horizontal="center"/>
    </xf>
    <xf numFmtId="0" fontId="26" fillId="52" borderId="61" xfId="0" applyNumberFormat="1" applyFont="1" applyFill="1" applyBorder="1" applyAlignment="1">
      <alignment horizontal="center"/>
    </xf>
    <xf numFmtId="0" fontId="26" fillId="52" borderId="60" xfId="0" applyFont="1" applyFill="1" applyBorder="1"/>
    <xf numFmtId="0" fontId="26" fillId="52" borderId="61" xfId="0" applyFont="1" applyFill="1" applyBorder="1"/>
    <xf numFmtId="0" fontId="54" fillId="52" borderId="59" xfId="0" applyFont="1" applyFill="1" applyBorder="1"/>
    <xf numFmtId="0" fontId="54" fillId="52" borderId="61" xfId="0" applyFont="1" applyFill="1" applyBorder="1"/>
    <xf numFmtId="4" fontId="26" fillId="52" borderId="60" xfId="0" applyNumberFormat="1" applyFont="1" applyFill="1" applyBorder="1"/>
    <xf numFmtId="4" fontId="54" fillId="52" borderId="61" xfId="0" applyNumberFormat="1" applyFont="1" applyFill="1" applyBorder="1"/>
    <xf numFmtId="0" fontId="26" fillId="52" borderId="60" xfId="0" applyNumberFormat="1" applyFont="1" applyFill="1" applyBorder="1"/>
    <xf numFmtId="0" fontId="26" fillId="52" borderId="61" xfId="0" applyNumberFormat="1" applyFont="1" applyFill="1" applyBorder="1"/>
    <xf numFmtId="0" fontId="26" fillId="52" borderId="51" xfId="0" applyNumberFormat="1" applyFont="1" applyFill="1" applyBorder="1" applyAlignment="1">
      <alignment horizontal="center"/>
    </xf>
    <xf numFmtId="4" fontId="26" fillId="52" borderId="52" xfId="0" applyNumberFormat="1" applyFont="1" applyFill="1" applyBorder="1"/>
    <xf numFmtId="0" fontId="26" fillId="52" borderId="52" xfId="0" applyNumberFormat="1" applyFont="1" applyFill="1" applyBorder="1"/>
    <xf numFmtId="0" fontId="26" fillId="52" borderId="59" xfId="0" applyNumberFormat="1" applyFont="1" applyFill="1" applyBorder="1" applyAlignment="1">
      <alignment horizontal="center"/>
    </xf>
    <xf numFmtId="4" fontId="26" fillId="52" borderId="59" xfId="0" applyNumberFormat="1" applyFont="1" applyFill="1" applyBorder="1"/>
    <xf numFmtId="0" fontId="26" fillId="52" borderId="59" xfId="0" applyNumberFormat="1" applyFont="1" applyFill="1" applyBorder="1"/>
    <xf numFmtId="4" fontId="54" fillId="52" borderId="52" xfId="0" applyNumberFormat="1" applyFont="1" applyFill="1" applyBorder="1"/>
    <xf numFmtId="0" fontId="27" fillId="54" borderId="50" xfId="0" applyFont="1" applyFill="1" applyBorder="1"/>
    <xf numFmtId="0" fontId="27" fillId="54" borderId="50" xfId="0" applyFont="1" applyFill="1" applyBorder="1" applyAlignment="1">
      <alignment horizontal="center"/>
    </xf>
    <xf numFmtId="0" fontId="27" fillId="54" borderId="51" xfId="0" applyFont="1" applyFill="1" applyBorder="1"/>
    <xf numFmtId="0" fontId="27" fillId="54" borderId="52" xfId="0" applyFont="1" applyFill="1" applyBorder="1"/>
    <xf numFmtId="0" fontId="27" fillId="54" borderId="53" xfId="0" applyFont="1" applyFill="1" applyBorder="1"/>
    <xf numFmtId="0" fontId="27" fillId="54" borderId="54" xfId="0" applyFont="1" applyFill="1" applyBorder="1"/>
    <xf numFmtId="0" fontId="27" fillId="54" borderId="55" xfId="0" applyFont="1" applyFill="1" applyBorder="1"/>
    <xf numFmtId="0" fontId="27" fillId="54" borderId="56" xfId="0" applyFont="1" applyFill="1" applyBorder="1"/>
    <xf numFmtId="0" fontId="27" fillId="54" borderId="27" xfId="0" applyNumberFormat="1" applyFont="1" applyFill="1" applyBorder="1"/>
    <xf numFmtId="0" fontId="27" fillId="54" borderId="27" xfId="0" applyNumberFormat="1" applyFont="1" applyFill="1" applyBorder="1" applyAlignment="1">
      <alignment horizontal="center"/>
    </xf>
    <xf numFmtId="0" fontId="54" fillId="54" borderId="52" xfId="0" applyFont="1" applyFill="1" applyBorder="1"/>
    <xf numFmtId="0" fontId="27" fillId="54" borderId="57" xfId="0" applyNumberFormat="1" applyFont="1" applyFill="1" applyBorder="1" applyAlignment="1">
      <alignment horizontal="center"/>
    </xf>
    <xf numFmtId="0" fontId="27" fillId="54" borderId="58" xfId="0" applyFont="1" applyFill="1" applyBorder="1"/>
    <xf numFmtId="0" fontId="27" fillId="54" borderId="54" xfId="0" applyNumberFormat="1" applyFont="1" applyFill="1" applyBorder="1" applyAlignment="1">
      <alignment horizontal="center"/>
    </xf>
    <xf numFmtId="0" fontId="54" fillId="54" borderId="55" xfId="0" applyFont="1" applyFill="1" applyBorder="1"/>
    <xf numFmtId="4" fontId="54" fillId="54" borderId="55" xfId="0" applyNumberFormat="1" applyFont="1" applyFill="1" applyBorder="1"/>
    <xf numFmtId="0" fontId="27" fillId="54" borderId="55" xfId="0" applyNumberFormat="1" applyFont="1" applyFill="1" applyBorder="1"/>
    <xf numFmtId="0" fontId="27" fillId="54" borderId="59" xfId="0" applyFont="1" applyFill="1" applyBorder="1"/>
    <xf numFmtId="0" fontId="27" fillId="54" borderId="60" xfId="0" applyNumberFormat="1" applyFont="1" applyFill="1" applyBorder="1" applyAlignment="1">
      <alignment horizontal="center"/>
    </xf>
    <xf numFmtId="0" fontId="27" fillId="54" borderId="61" xfId="0" applyNumberFormat="1" applyFont="1" applyFill="1" applyBorder="1" applyAlignment="1">
      <alignment horizontal="center"/>
    </xf>
    <xf numFmtId="0" fontId="27" fillId="54" borderId="60" xfId="0" applyFont="1" applyFill="1" applyBorder="1"/>
    <xf numFmtId="0" fontId="27" fillId="54" borderId="61" xfId="0" applyFont="1" applyFill="1" applyBorder="1"/>
    <xf numFmtId="0" fontId="54" fillId="54" borderId="59" xfId="0" applyFont="1" applyFill="1" applyBorder="1"/>
    <xf numFmtId="0" fontId="54" fillId="54" borderId="61" xfId="0" applyFont="1" applyFill="1" applyBorder="1"/>
    <xf numFmtId="4" fontId="27" fillId="54" borderId="60" xfId="0" applyNumberFormat="1" applyFont="1" applyFill="1" applyBorder="1"/>
    <xf numFmtId="4" fontId="54" fillId="54" borderId="61" xfId="0" applyNumberFormat="1" applyFont="1" applyFill="1" applyBorder="1"/>
    <xf numFmtId="0" fontId="27" fillId="54" borderId="60" xfId="0" applyNumberFormat="1" applyFont="1" applyFill="1" applyBorder="1"/>
    <xf numFmtId="0" fontId="27" fillId="54" borderId="61" xfId="0" applyNumberFormat="1" applyFont="1" applyFill="1" applyBorder="1"/>
    <xf numFmtId="0" fontId="27" fillId="54" borderId="51" xfId="0" applyNumberFormat="1" applyFont="1" applyFill="1" applyBorder="1" applyAlignment="1">
      <alignment horizontal="center"/>
    </xf>
    <xf numFmtId="4" fontId="27" fillId="54" borderId="52" xfId="0" applyNumberFormat="1" applyFont="1" applyFill="1" applyBorder="1"/>
    <xf numFmtId="0" fontId="27" fillId="54" borderId="52" xfId="0" applyNumberFormat="1" applyFont="1" applyFill="1" applyBorder="1"/>
    <xf numFmtId="0" fontId="27" fillId="54" borderId="59" xfId="0" applyNumberFormat="1" applyFont="1" applyFill="1" applyBorder="1" applyAlignment="1">
      <alignment horizontal="center"/>
    </xf>
    <xf numFmtId="4" fontId="27" fillId="54" borderId="59" xfId="0" applyNumberFormat="1" applyFont="1" applyFill="1" applyBorder="1"/>
    <xf numFmtId="0" fontId="27" fillId="54" borderId="59" xfId="0" applyNumberFormat="1" applyFont="1" applyFill="1" applyBorder="1"/>
    <xf numFmtId="4" fontId="54" fillId="54" borderId="52" xfId="0" applyNumberFormat="1" applyFont="1" applyFill="1" applyBorder="1"/>
    <xf numFmtId="0" fontId="28" fillId="56" borderId="50" xfId="0" applyFont="1" applyFill="1" applyBorder="1"/>
    <xf numFmtId="0" fontId="28" fillId="56" borderId="50" xfId="0" applyFont="1" applyFill="1" applyBorder="1" applyAlignment="1">
      <alignment horizontal="center"/>
    </xf>
    <xf numFmtId="0" fontId="28" fillId="56" borderId="51" xfId="0" applyFont="1" applyFill="1" applyBorder="1"/>
    <xf numFmtId="0" fontId="28" fillId="56" borderId="52" xfId="0" applyFont="1" applyFill="1" applyBorder="1"/>
    <xf numFmtId="0" fontId="28" fillId="56" borderId="53" xfId="0" applyFont="1" applyFill="1" applyBorder="1"/>
    <xf numFmtId="0" fontId="28" fillId="56" borderId="54" xfId="0" applyFont="1" applyFill="1" applyBorder="1"/>
    <xf numFmtId="0" fontId="28" fillId="56" borderId="55" xfId="0" applyFont="1" applyFill="1" applyBorder="1"/>
    <xf numFmtId="0" fontId="28" fillId="56" borderId="56" xfId="0" applyFont="1" applyFill="1" applyBorder="1"/>
    <xf numFmtId="0" fontId="28" fillId="56" borderId="28" xfId="0" applyNumberFormat="1" applyFont="1" applyFill="1" applyBorder="1"/>
    <xf numFmtId="0" fontId="28" fillId="56" borderId="28" xfId="0" applyNumberFormat="1" applyFont="1" applyFill="1" applyBorder="1" applyAlignment="1">
      <alignment horizontal="center"/>
    </xf>
    <xf numFmtId="0" fontId="54" fillId="56" borderId="52" xfId="0" applyFont="1" applyFill="1" applyBorder="1"/>
    <xf numFmtId="0" fontId="28" fillId="56" borderId="57" xfId="0" applyNumberFormat="1" applyFont="1" applyFill="1" applyBorder="1" applyAlignment="1">
      <alignment horizontal="center"/>
    </xf>
    <xf numFmtId="0" fontId="28" fillId="56" borderId="58" xfId="0" applyFont="1" applyFill="1" applyBorder="1"/>
    <xf numFmtId="0" fontId="28" fillId="56" borderId="54" xfId="0" applyNumberFormat="1" applyFont="1" applyFill="1" applyBorder="1" applyAlignment="1">
      <alignment horizontal="center"/>
    </xf>
    <xf numFmtId="0" fontId="54" fillId="56" borderId="55" xfId="0" applyFont="1" applyFill="1" applyBorder="1"/>
    <xf numFmtId="4" fontId="54" fillId="56" borderId="55" xfId="0" applyNumberFormat="1" applyFont="1" applyFill="1" applyBorder="1"/>
    <xf numFmtId="0" fontId="28" fillId="56" borderId="55" xfId="0" applyNumberFormat="1" applyFont="1" applyFill="1" applyBorder="1"/>
    <xf numFmtId="0" fontId="28" fillId="56" borderId="59" xfId="0" applyFont="1" applyFill="1" applyBorder="1"/>
    <xf numFmtId="0" fontId="28" fillId="56" borderId="60" xfId="0" applyNumberFormat="1" applyFont="1" applyFill="1" applyBorder="1" applyAlignment="1">
      <alignment horizontal="center"/>
    </xf>
    <xf numFmtId="0" fontId="28" fillId="56" borderId="61" xfId="0" applyNumberFormat="1" applyFont="1" applyFill="1" applyBorder="1" applyAlignment="1">
      <alignment horizontal="center"/>
    </xf>
    <xf numFmtId="0" fontId="28" fillId="56" borderId="60" xfId="0" applyFont="1" applyFill="1" applyBorder="1"/>
    <xf numFmtId="0" fontId="28" fillId="56" borderId="61" xfId="0" applyFont="1" applyFill="1" applyBorder="1"/>
    <xf numFmtId="0" fontId="54" fillId="56" borderId="59" xfId="0" applyFont="1" applyFill="1" applyBorder="1"/>
    <xf numFmtId="0" fontId="54" fillId="56" borderId="61" xfId="0" applyFont="1" applyFill="1" applyBorder="1"/>
    <xf numFmtId="4" fontId="28" fillId="56" borderId="60" xfId="0" applyNumberFormat="1" applyFont="1" applyFill="1" applyBorder="1"/>
    <xf numFmtId="4" fontId="54" fillId="56" borderId="61" xfId="0" applyNumberFormat="1" applyFont="1" applyFill="1" applyBorder="1"/>
    <xf numFmtId="0" fontId="28" fillId="56" borderId="60" xfId="0" applyNumberFormat="1" applyFont="1" applyFill="1" applyBorder="1"/>
    <xf numFmtId="0" fontId="28" fillId="56" borderId="61" xfId="0" applyNumberFormat="1" applyFont="1" applyFill="1" applyBorder="1"/>
    <xf numFmtId="0" fontId="28" fillId="56" borderId="51" xfId="0" applyNumberFormat="1" applyFont="1" applyFill="1" applyBorder="1" applyAlignment="1">
      <alignment horizontal="center"/>
    </xf>
    <xf numFmtId="4" fontId="28" fillId="56" borderId="52" xfId="0" applyNumberFormat="1" applyFont="1" applyFill="1" applyBorder="1"/>
    <xf numFmtId="0" fontId="28" fillId="56" borderId="52" xfId="0" applyNumberFormat="1" applyFont="1" applyFill="1" applyBorder="1"/>
    <xf numFmtId="0" fontId="28" fillId="56" borderId="59" xfId="0" applyNumberFormat="1" applyFont="1" applyFill="1" applyBorder="1" applyAlignment="1">
      <alignment horizontal="center"/>
    </xf>
    <xf numFmtId="4" fontId="28" fillId="56" borderId="59" xfId="0" applyNumberFormat="1" applyFont="1" applyFill="1" applyBorder="1"/>
    <xf numFmtId="0" fontId="28" fillId="56" borderId="59" xfId="0" applyNumberFormat="1" applyFont="1" applyFill="1" applyBorder="1"/>
    <xf numFmtId="4" fontId="54" fillId="56" borderId="52" xfId="0" applyNumberFormat="1" applyFont="1" applyFill="1" applyBorder="1"/>
    <xf numFmtId="0" fontId="29" fillId="58" borderId="50" xfId="0" applyFont="1" applyFill="1" applyBorder="1"/>
    <xf numFmtId="0" fontId="29" fillId="58" borderId="50" xfId="0" applyFont="1" applyFill="1" applyBorder="1" applyAlignment="1">
      <alignment horizontal="center"/>
    </xf>
    <xf numFmtId="0" fontId="29" fillId="58" borderId="51" xfId="0" applyFont="1" applyFill="1" applyBorder="1"/>
    <xf numFmtId="0" fontId="29" fillId="58" borderId="52" xfId="0" applyFont="1" applyFill="1" applyBorder="1"/>
    <xf numFmtId="0" fontId="29" fillId="58" borderId="53" xfId="0" applyFont="1" applyFill="1" applyBorder="1"/>
    <xf numFmtId="0" fontId="29" fillId="58" borderId="54" xfId="0" applyFont="1" applyFill="1" applyBorder="1"/>
    <xf numFmtId="0" fontId="29" fillId="58" borderId="55" xfId="0" applyFont="1" applyFill="1" applyBorder="1"/>
    <xf numFmtId="0" fontId="29" fillId="58" borderId="56" xfId="0" applyFont="1" applyFill="1" applyBorder="1"/>
    <xf numFmtId="0" fontId="29" fillId="58" borderId="29" xfId="0" applyNumberFormat="1" applyFont="1" applyFill="1" applyBorder="1"/>
    <xf numFmtId="0" fontId="29" fillId="58" borderId="29" xfId="0" applyNumberFormat="1" applyFont="1" applyFill="1" applyBorder="1" applyAlignment="1">
      <alignment horizontal="center"/>
    </xf>
    <xf numFmtId="0" fontId="54" fillId="58" borderId="52" xfId="0" applyFont="1" applyFill="1" applyBorder="1"/>
    <xf numFmtId="0" fontId="29" fillId="58" borderId="57" xfId="0" applyNumberFormat="1" applyFont="1" applyFill="1" applyBorder="1" applyAlignment="1">
      <alignment horizontal="center"/>
    </xf>
    <xf numFmtId="0" fontId="29" fillId="58" borderId="58" xfId="0" applyFont="1" applyFill="1" applyBorder="1"/>
    <xf numFmtId="0" fontId="29" fillId="58" borderId="54" xfId="0" applyNumberFormat="1" applyFont="1" applyFill="1" applyBorder="1" applyAlignment="1">
      <alignment horizontal="center"/>
    </xf>
    <xf numFmtId="0" fontId="54" fillId="58" borderId="55" xfId="0" applyFont="1" applyFill="1" applyBorder="1"/>
    <xf numFmtId="4" fontId="54" fillId="58" borderId="55" xfId="0" applyNumberFormat="1" applyFont="1" applyFill="1" applyBorder="1"/>
    <xf numFmtId="0" fontId="29" fillId="58" borderId="55" xfId="0" applyNumberFormat="1" applyFont="1" applyFill="1" applyBorder="1"/>
    <xf numFmtId="0" fontId="29" fillId="58" borderId="59" xfId="0" applyFont="1" applyFill="1" applyBorder="1"/>
    <xf numFmtId="0" fontId="29" fillId="58" borderId="60" xfId="0" applyNumberFormat="1" applyFont="1" applyFill="1" applyBorder="1" applyAlignment="1">
      <alignment horizontal="center"/>
    </xf>
    <xf numFmtId="0" fontId="29" fillId="58" borderId="61" xfId="0" applyNumberFormat="1" applyFont="1" applyFill="1" applyBorder="1" applyAlignment="1">
      <alignment horizontal="center"/>
    </xf>
    <xf numFmtId="0" fontId="29" fillId="58" borderId="60" xfId="0" applyFont="1" applyFill="1" applyBorder="1"/>
    <xf numFmtId="0" fontId="29" fillId="58" borderId="61" xfId="0" applyFont="1" applyFill="1" applyBorder="1"/>
    <xf numFmtId="0" fontId="54" fillId="58" borderId="59" xfId="0" applyFont="1" applyFill="1" applyBorder="1"/>
    <xf numFmtId="0" fontId="54" fillId="58" borderId="61" xfId="0" applyFont="1" applyFill="1" applyBorder="1"/>
    <xf numFmtId="4" fontId="29" fillId="58" borderId="60" xfId="0" applyNumberFormat="1" applyFont="1" applyFill="1" applyBorder="1"/>
    <xf numFmtId="4" fontId="54" fillId="58" borderId="61" xfId="0" applyNumberFormat="1" applyFont="1" applyFill="1" applyBorder="1"/>
    <xf numFmtId="0" fontId="29" fillId="58" borderId="60" xfId="0" applyNumberFormat="1" applyFont="1" applyFill="1" applyBorder="1"/>
    <xf numFmtId="0" fontId="29" fillId="58" borderId="61" xfId="0" applyNumberFormat="1" applyFont="1" applyFill="1" applyBorder="1"/>
    <xf numFmtId="0" fontId="29" fillId="58" borderId="51" xfId="0" applyNumberFormat="1" applyFont="1" applyFill="1" applyBorder="1" applyAlignment="1">
      <alignment horizontal="center"/>
    </xf>
    <xf numFmtId="4" fontId="29" fillId="58" borderId="52" xfId="0" applyNumberFormat="1" applyFont="1" applyFill="1" applyBorder="1"/>
    <xf numFmtId="0" fontId="29" fillId="58" borderId="52" xfId="0" applyNumberFormat="1" applyFont="1" applyFill="1" applyBorder="1"/>
    <xf numFmtId="0" fontId="29" fillId="58" borderId="59" xfId="0" applyNumberFormat="1" applyFont="1" applyFill="1" applyBorder="1" applyAlignment="1">
      <alignment horizontal="center"/>
    </xf>
    <xf numFmtId="4" fontId="29" fillId="58" borderId="59" xfId="0" applyNumberFormat="1" applyFont="1" applyFill="1" applyBorder="1"/>
    <xf numFmtId="0" fontId="29" fillId="58" borderId="59" xfId="0" applyNumberFormat="1" applyFont="1" applyFill="1" applyBorder="1"/>
    <xf numFmtId="4" fontId="54" fillId="58" borderId="52" xfId="0" applyNumberFormat="1" applyFont="1" applyFill="1" applyBorder="1"/>
    <xf numFmtId="0" fontId="30" fillId="60" borderId="50" xfId="0" applyFont="1" applyFill="1" applyBorder="1"/>
    <xf numFmtId="0" fontId="30" fillId="60" borderId="50" xfId="0" applyFont="1" applyFill="1" applyBorder="1" applyAlignment="1">
      <alignment horizontal="center"/>
    </xf>
    <xf numFmtId="0" fontId="30" fillId="60" borderId="51" xfId="0" applyFont="1" applyFill="1" applyBorder="1"/>
    <xf numFmtId="0" fontId="30" fillId="60" borderId="52" xfId="0" applyFont="1" applyFill="1" applyBorder="1"/>
    <xf numFmtId="0" fontId="30" fillId="60" borderId="53" xfId="0" applyFont="1" applyFill="1" applyBorder="1"/>
    <xf numFmtId="0" fontId="30" fillId="60" borderId="54" xfId="0" applyFont="1" applyFill="1" applyBorder="1"/>
    <xf numFmtId="0" fontId="30" fillId="60" borderId="55" xfId="0" applyFont="1" applyFill="1" applyBorder="1"/>
    <xf numFmtId="0" fontId="30" fillId="60" borderId="56" xfId="0" applyFont="1" applyFill="1" applyBorder="1"/>
    <xf numFmtId="0" fontId="30" fillId="60" borderId="30" xfId="0" applyNumberFormat="1" applyFont="1" applyFill="1" applyBorder="1"/>
    <xf numFmtId="0" fontId="30" fillId="60" borderId="30" xfId="0" applyNumberFormat="1" applyFont="1" applyFill="1" applyBorder="1" applyAlignment="1">
      <alignment horizontal="center"/>
    </xf>
    <xf numFmtId="0" fontId="54" fillId="60" borderId="52" xfId="0" applyFont="1" applyFill="1" applyBorder="1"/>
    <xf numFmtId="0" fontId="30" fillId="60" borderId="57" xfId="0" applyNumberFormat="1" applyFont="1" applyFill="1" applyBorder="1" applyAlignment="1">
      <alignment horizontal="center"/>
    </xf>
    <xf numFmtId="0" fontId="30" fillId="60" borderId="58" xfId="0" applyFont="1" applyFill="1" applyBorder="1"/>
    <xf numFmtId="0" fontId="30" fillId="60" borderId="54" xfId="0" applyNumberFormat="1" applyFont="1" applyFill="1" applyBorder="1" applyAlignment="1">
      <alignment horizontal="center"/>
    </xf>
    <xf numFmtId="0" fontId="54" fillId="60" borderId="55" xfId="0" applyFont="1" applyFill="1" applyBorder="1"/>
    <xf numFmtId="4" fontId="54" fillId="60" borderId="55" xfId="0" applyNumberFormat="1" applyFont="1" applyFill="1" applyBorder="1"/>
    <xf numFmtId="0" fontId="30" fillId="60" borderId="55" xfId="0" applyNumberFormat="1" applyFont="1" applyFill="1" applyBorder="1"/>
    <xf numFmtId="0" fontId="30" fillId="60" borderId="59" xfId="0" applyFont="1" applyFill="1" applyBorder="1"/>
    <xf numFmtId="0" fontId="30" fillId="60" borderId="60" xfId="0" applyNumberFormat="1" applyFont="1" applyFill="1" applyBorder="1" applyAlignment="1">
      <alignment horizontal="center"/>
    </xf>
    <xf numFmtId="0" fontId="30" fillId="60" borderId="61" xfId="0" applyNumberFormat="1" applyFont="1" applyFill="1" applyBorder="1" applyAlignment="1">
      <alignment horizontal="center"/>
    </xf>
    <xf numFmtId="0" fontId="30" fillId="60" borderId="60" xfId="0" applyFont="1" applyFill="1" applyBorder="1"/>
    <xf numFmtId="0" fontId="30" fillId="60" borderId="61" xfId="0" applyFont="1" applyFill="1" applyBorder="1"/>
    <xf numFmtId="0" fontId="54" fillId="60" borderId="59" xfId="0" applyFont="1" applyFill="1" applyBorder="1"/>
    <xf numFmtId="0" fontId="54" fillId="60" borderId="61" xfId="0" applyFont="1" applyFill="1" applyBorder="1"/>
    <xf numFmtId="4" fontId="30" fillId="60" borderId="60" xfId="0" applyNumberFormat="1" applyFont="1" applyFill="1" applyBorder="1"/>
    <xf numFmtId="4" fontId="54" fillId="60" borderId="61" xfId="0" applyNumberFormat="1" applyFont="1" applyFill="1" applyBorder="1"/>
    <xf numFmtId="0" fontId="30" fillId="60" borderId="60" xfId="0" applyNumberFormat="1" applyFont="1" applyFill="1" applyBorder="1"/>
    <xf numFmtId="0" fontId="30" fillId="60" borderId="61" xfId="0" applyNumberFormat="1" applyFont="1" applyFill="1" applyBorder="1"/>
    <xf numFmtId="0" fontId="30" fillId="60" borderId="51" xfId="0" applyNumberFormat="1" applyFont="1" applyFill="1" applyBorder="1" applyAlignment="1">
      <alignment horizontal="center"/>
    </xf>
    <xf numFmtId="4" fontId="30" fillId="60" borderId="52" xfId="0" applyNumberFormat="1" applyFont="1" applyFill="1" applyBorder="1"/>
    <xf numFmtId="0" fontId="30" fillId="60" borderId="52" xfId="0" applyNumberFormat="1" applyFont="1" applyFill="1" applyBorder="1"/>
    <xf numFmtId="0" fontId="30" fillId="60" borderId="59" xfId="0" applyNumberFormat="1" applyFont="1" applyFill="1" applyBorder="1" applyAlignment="1">
      <alignment horizontal="center"/>
    </xf>
    <xf numFmtId="4" fontId="30" fillId="60" borderId="59" xfId="0" applyNumberFormat="1" applyFont="1" applyFill="1" applyBorder="1"/>
    <xf numFmtId="0" fontId="30" fillId="60" borderId="59" xfId="0" applyNumberFormat="1" applyFont="1" applyFill="1" applyBorder="1"/>
    <xf numFmtId="4" fontId="54" fillId="60" borderId="52" xfId="0" applyNumberFormat="1" applyFont="1" applyFill="1" applyBorder="1"/>
    <xf numFmtId="0" fontId="31" fillId="62" borderId="50" xfId="0" applyFont="1" applyFill="1" applyBorder="1"/>
    <xf numFmtId="0" fontId="31" fillId="62" borderId="50" xfId="0" applyFont="1" applyFill="1" applyBorder="1" applyAlignment="1">
      <alignment horizontal="center"/>
    </xf>
    <xf numFmtId="0" fontId="31" fillId="62" borderId="51" xfId="0" applyFont="1" applyFill="1" applyBorder="1"/>
    <xf numFmtId="0" fontId="31" fillId="62" borderId="52" xfId="0" applyFont="1" applyFill="1" applyBorder="1"/>
    <xf numFmtId="0" fontId="31" fillId="62" borderId="53" xfId="0" applyFont="1" applyFill="1" applyBorder="1"/>
    <xf numFmtId="0" fontId="31" fillId="62" borderId="54" xfId="0" applyFont="1" applyFill="1" applyBorder="1"/>
    <xf numFmtId="0" fontId="31" fillId="62" borderId="55" xfId="0" applyFont="1" applyFill="1" applyBorder="1"/>
    <xf numFmtId="0" fontId="31" fillId="62" borderId="56" xfId="0" applyFont="1" applyFill="1" applyBorder="1"/>
    <xf numFmtId="0" fontId="31" fillId="62" borderId="31" xfId="0" applyNumberFormat="1" applyFont="1" applyFill="1" applyBorder="1"/>
    <xf numFmtId="0" fontId="31" fillId="62" borderId="31" xfId="0" applyNumberFormat="1" applyFont="1" applyFill="1" applyBorder="1" applyAlignment="1">
      <alignment horizontal="center"/>
    </xf>
    <xf numFmtId="0" fontId="54" fillId="62" borderId="52" xfId="0" applyFont="1" applyFill="1" applyBorder="1"/>
    <xf numFmtId="0" fontId="31" fillId="62" borderId="57" xfId="0" applyNumberFormat="1" applyFont="1" applyFill="1" applyBorder="1" applyAlignment="1">
      <alignment horizontal="center"/>
    </xf>
    <xf numFmtId="0" fontId="31" fillId="62" borderId="58" xfId="0" applyFont="1" applyFill="1" applyBorder="1"/>
    <xf numFmtId="0" fontId="31" fillId="62" borderId="54" xfId="0" applyNumberFormat="1" applyFont="1" applyFill="1" applyBorder="1" applyAlignment="1">
      <alignment horizontal="center"/>
    </xf>
    <xf numFmtId="0" fontId="54" fillId="62" borderId="55" xfId="0" applyFont="1" applyFill="1" applyBorder="1"/>
    <xf numFmtId="4" fontId="54" fillId="62" borderId="55" xfId="0" applyNumberFormat="1" applyFont="1" applyFill="1" applyBorder="1"/>
    <xf numFmtId="0" fontId="31" fillId="62" borderId="55" xfId="0" applyNumberFormat="1" applyFont="1" applyFill="1" applyBorder="1"/>
    <xf numFmtId="0" fontId="31" fillId="62" borderId="59" xfId="0" applyFont="1" applyFill="1" applyBorder="1"/>
    <xf numFmtId="0" fontId="31" fillId="62" borderId="60" xfId="0" applyNumberFormat="1" applyFont="1" applyFill="1" applyBorder="1" applyAlignment="1">
      <alignment horizontal="center"/>
    </xf>
    <xf numFmtId="0" fontId="31" fillId="62" borderId="61" xfId="0" applyNumberFormat="1" applyFont="1" applyFill="1" applyBorder="1" applyAlignment="1">
      <alignment horizontal="center"/>
    </xf>
    <xf numFmtId="0" fontId="31" fillId="62" borderId="60" xfId="0" applyFont="1" applyFill="1" applyBorder="1"/>
    <xf numFmtId="0" fontId="31" fillId="62" borderId="61" xfId="0" applyFont="1" applyFill="1" applyBorder="1"/>
    <xf numFmtId="0" fontId="54" fillId="62" borderId="59" xfId="0" applyFont="1" applyFill="1" applyBorder="1"/>
    <xf numFmtId="0" fontId="54" fillId="62" borderId="61" xfId="0" applyFont="1" applyFill="1" applyBorder="1"/>
    <xf numFmtId="4" fontId="31" fillId="62" borderId="60" xfId="0" applyNumberFormat="1" applyFont="1" applyFill="1" applyBorder="1"/>
    <xf numFmtId="4" fontId="54" fillId="62" borderId="61" xfId="0" applyNumberFormat="1" applyFont="1" applyFill="1" applyBorder="1"/>
    <xf numFmtId="0" fontId="31" fillId="62" borderId="60" xfId="0" applyNumberFormat="1" applyFont="1" applyFill="1" applyBorder="1"/>
    <xf numFmtId="0" fontId="31" fillId="62" borderId="61" xfId="0" applyNumberFormat="1" applyFont="1" applyFill="1" applyBorder="1"/>
    <xf numFmtId="0" fontId="31" fillId="62" borderId="51" xfId="0" applyNumberFormat="1" applyFont="1" applyFill="1" applyBorder="1" applyAlignment="1">
      <alignment horizontal="center"/>
    </xf>
    <xf numFmtId="4" fontId="31" fillId="62" borderId="52" xfId="0" applyNumberFormat="1" applyFont="1" applyFill="1" applyBorder="1"/>
    <xf numFmtId="0" fontId="31" fillId="62" borderId="52" xfId="0" applyNumberFormat="1" applyFont="1" applyFill="1" applyBorder="1"/>
    <xf numFmtId="0" fontId="31" fillId="62" borderId="59" xfId="0" applyNumberFormat="1" applyFont="1" applyFill="1" applyBorder="1" applyAlignment="1">
      <alignment horizontal="center"/>
    </xf>
    <xf numFmtId="4" fontId="31" fillId="62" borderId="59" xfId="0" applyNumberFormat="1" applyFont="1" applyFill="1" applyBorder="1"/>
    <xf numFmtId="0" fontId="31" fillId="62" borderId="59" xfId="0" applyNumberFormat="1" applyFont="1" applyFill="1" applyBorder="1"/>
    <xf numFmtId="4" fontId="54" fillId="62" borderId="52" xfId="0" applyNumberFormat="1" applyFont="1" applyFill="1" applyBorder="1"/>
    <xf numFmtId="0" fontId="32" fillId="64" borderId="50" xfId="0" applyFont="1" applyFill="1" applyBorder="1"/>
    <xf numFmtId="0" fontId="32" fillId="64" borderId="50" xfId="0" applyFont="1" applyFill="1" applyBorder="1" applyAlignment="1">
      <alignment horizontal="center"/>
    </xf>
    <xf numFmtId="0" fontId="32" fillId="64" borderId="51" xfId="0" applyFont="1" applyFill="1" applyBorder="1"/>
    <xf numFmtId="0" fontId="32" fillId="64" borderId="52" xfId="0" applyFont="1" applyFill="1" applyBorder="1"/>
    <xf numFmtId="0" fontId="32" fillId="64" borderId="53" xfId="0" applyFont="1" applyFill="1" applyBorder="1"/>
    <xf numFmtId="0" fontId="32" fillId="64" borderId="54" xfId="0" applyFont="1" applyFill="1" applyBorder="1"/>
    <xf numFmtId="0" fontId="32" fillId="64" borderId="55" xfId="0" applyFont="1" applyFill="1" applyBorder="1"/>
    <xf numFmtId="0" fontId="32" fillId="64" borderId="56" xfId="0" applyFont="1" applyFill="1" applyBorder="1"/>
    <xf numFmtId="0" fontId="32" fillId="64" borderId="32" xfId="0" applyNumberFormat="1" applyFont="1" applyFill="1" applyBorder="1"/>
    <xf numFmtId="0" fontId="32" fillId="64" borderId="32" xfId="0" applyNumberFormat="1" applyFont="1" applyFill="1" applyBorder="1" applyAlignment="1">
      <alignment horizontal="center"/>
    </xf>
    <xf numFmtId="0" fontId="54" fillId="64" borderId="52" xfId="0" applyFont="1" applyFill="1" applyBorder="1"/>
    <xf numFmtId="0" fontId="32" fillId="64" borderId="57" xfId="0" applyNumberFormat="1" applyFont="1" applyFill="1" applyBorder="1" applyAlignment="1">
      <alignment horizontal="center"/>
    </xf>
    <xf numFmtId="0" fontId="32" fillId="64" borderId="58" xfId="0" applyFont="1" applyFill="1" applyBorder="1"/>
    <xf numFmtId="0" fontId="32" fillId="64" borderId="54" xfId="0" applyNumberFormat="1" applyFont="1" applyFill="1" applyBorder="1" applyAlignment="1">
      <alignment horizontal="center"/>
    </xf>
    <xf numFmtId="0" fontId="54" fillId="64" borderId="55" xfId="0" applyFont="1" applyFill="1" applyBorder="1"/>
    <xf numFmtId="4" fontId="54" fillId="64" borderId="55" xfId="0" applyNumberFormat="1" applyFont="1" applyFill="1" applyBorder="1"/>
    <xf numFmtId="0" fontId="32" fillId="64" borderId="55" xfId="0" applyNumberFormat="1" applyFont="1" applyFill="1" applyBorder="1"/>
    <xf numFmtId="0" fontId="32" fillId="64" borderId="59" xfId="0" applyFont="1" applyFill="1" applyBorder="1"/>
    <xf numFmtId="0" fontId="32" fillId="64" borderId="60" xfId="0" applyNumberFormat="1" applyFont="1" applyFill="1" applyBorder="1" applyAlignment="1">
      <alignment horizontal="center"/>
    </xf>
    <xf numFmtId="0" fontId="32" fillId="64" borderId="61" xfId="0" applyNumberFormat="1" applyFont="1" applyFill="1" applyBorder="1" applyAlignment="1">
      <alignment horizontal="center"/>
    </xf>
    <xf numFmtId="0" fontId="32" fillId="64" borderId="60" xfId="0" applyFont="1" applyFill="1" applyBorder="1"/>
    <xf numFmtId="0" fontId="32" fillId="64" borderId="61" xfId="0" applyFont="1" applyFill="1" applyBorder="1"/>
    <xf numFmtId="0" fontId="54" fillId="64" borderId="59" xfId="0" applyFont="1" applyFill="1" applyBorder="1"/>
    <xf numFmtId="0" fontId="54" fillId="64" borderId="61" xfId="0" applyFont="1" applyFill="1" applyBorder="1"/>
    <xf numFmtId="4" fontId="32" fillId="64" borderId="60" xfId="0" applyNumberFormat="1" applyFont="1" applyFill="1" applyBorder="1"/>
    <xf numFmtId="4" fontId="54" fillId="64" borderId="61" xfId="0" applyNumberFormat="1" applyFont="1" applyFill="1" applyBorder="1"/>
    <xf numFmtId="0" fontId="32" fillId="64" borderId="60" xfId="0" applyNumberFormat="1" applyFont="1" applyFill="1" applyBorder="1"/>
    <xf numFmtId="0" fontId="32" fillId="64" borderId="61" xfId="0" applyNumberFormat="1" applyFont="1" applyFill="1" applyBorder="1"/>
    <xf numFmtId="0" fontId="32" fillId="64" borderId="51" xfId="0" applyNumberFormat="1" applyFont="1" applyFill="1" applyBorder="1" applyAlignment="1">
      <alignment horizontal="center"/>
    </xf>
    <xf numFmtId="4" fontId="32" fillId="64" borderId="52" xfId="0" applyNumberFormat="1" applyFont="1" applyFill="1" applyBorder="1"/>
    <xf numFmtId="0" fontId="32" fillId="64" borderId="52" xfId="0" applyNumberFormat="1" applyFont="1" applyFill="1" applyBorder="1"/>
    <xf numFmtId="0" fontId="32" fillId="64" borderId="59" xfId="0" applyNumberFormat="1" applyFont="1" applyFill="1" applyBorder="1" applyAlignment="1">
      <alignment horizontal="center"/>
    </xf>
    <xf numFmtId="4" fontId="32" fillId="64" borderId="59" xfId="0" applyNumberFormat="1" applyFont="1" applyFill="1" applyBorder="1"/>
    <xf numFmtId="0" fontId="32" fillId="64" borderId="59" xfId="0" applyNumberFormat="1" applyFont="1" applyFill="1" applyBorder="1"/>
    <xf numFmtId="4" fontId="54" fillId="64" borderId="52" xfId="0" applyNumberFormat="1" applyFont="1" applyFill="1" applyBorder="1"/>
    <xf numFmtId="0" fontId="33" fillId="66" borderId="50" xfId="0" applyFont="1" applyFill="1" applyBorder="1"/>
    <xf numFmtId="0" fontId="33" fillId="66" borderId="50" xfId="0" applyFont="1" applyFill="1" applyBorder="1" applyAlignment="1">
      <alignment horizontal="center"/>
    </xf>
    <xf numFmtId="0" fontId="33" fillId="66" borderId="51" xfId="0" applyFont="1" applyFill="1" applyBorder="1"/>
    <xf numFmtId="0" fontId="33" fillId="66" borderId="52" xfId="0" applyFont="1" applyFill="1" applyBorder="1"/>
    <xf numFmtId="0" fontId="33" fillId="66" borderId="53" xfId="0" applyFont="1" applyFill="1" applyBorder="1"/>
    <xf numFmtId="0" fontId="33" fillId="66" borderId="54" xfId="0" applyFont="1" applyFill="1" applyBorder="1"/>
    <xf numFmtId="0" fontId="33" fillId="66" borderId="55" xfId="0" applyFont="1" applyFill="1" applyBorder="1"/>
    <xf numFmtId="0" fontId="33" fillId="66" borderId="56" xfId="0" applyFont="1" applyFill="1" applyBorder="1"/>
    <xf numFmtId="0" fontId="33" fillId="66" borderId="33" xfId="0" applyNumberFormat="1" applyFont="1" applyFill="1" applyBorder="1"/>
    <xf numFmtId="0" fontId="33" fillId="66" borderId="33" xfId="0" applyNumberFormat="1" applyFont="1" applyFill="1" applyBorder="1" applyAlignment="1">
      <alignment horizontal="center"/>
    </xf>
    <xf numFmtId="0" fontId="54" fillId="66" borderId="52" xfId="0" applyFont="1" applyFill="1" applyBorder="1"/>
    <xf numFmtId="0" fontId="33" fillId="66" borderId="57" xfId="0" applyNumberFormat="1" applyFont="1" applyFill="1" applyBorder="1" applyAlignment="1">
      <alignment horizontal="center"/>
    </xf>
    <xf numFmtId="0" fontId="33" fillId="66" borderId="58" xfId="0" applyFont="1" applyFill="1" applyBorder="1"/>
    <xf numFmtId="0" fontId="33" fillId="66" borderId="54" xfId="0" applyNumberFormat="1" applyFont="1" applyFill="1" applyBorder="1" applyAlignment="1">
      <alignment horizontal="center"/>
    </xf>
    <xf numFmtId="0" fontId="54" fillId="66" borderId="55" xfId="0" applyFont="1" applyFill="1" applyBorder="1"/>
    <xf numFmtId="4" fontId="54" fillId="66" borderId="55" xfId="0" applyNumberFormat="1" applyFont="1" applyFill="1" applyBorder="1"/>
    <xf numFmtId="0" fontId="33" fillId="66" borderId="55" xfId="0" applyNumberFormat="1" applyFont="1" applyFill="1" applyBorder="1"/>
    <xf numFmtId="0" fontId="33" fillId="66" borderId="59" xfId="0" applyFont="1" applyFill="1" applyBorder="1"/>
    <xf numFmtId="0" fontId="33" fillId="66" borderId="60" xfId="0" applyNumberFormat="1" applyFont="1" applyFill="1" applyBorder="1" applyAlignment="1">
      <alignment horizontal="center"/>
    </xf>
    <xf numFmtId="0" fontId="33" fillId="66" borderId="61" xfId="0" applyNumberFormat="1" applyFont="1" applyFill="1" applyBorder="1" applyAlignment="1">
      <alignment horizontal="center"/>
    </xf>
    <xf numFmtId="0" fontId="33" fillId="66" borderId="60" xfId="0" applyFont="1" applyFill="1" applyBorder="1"/>
    <xf numFmtId="0" fontId="33" fillId="66" borderId="61" xfId="0" applyFont="1" applyFill="1" applyBorder="1"/>
    <xf numFmtId="0" fontId="54" fillId="66" borderId="59" xfId="0" applyFont="1" applyFill="1" applyBorder="1"/>
    <xf numFmtId="0" fontId="54" fillId="66" borderId="61" xfId="0" applyFont="1" applyFill="1" applyBorder="1"/>
    <xf numFmtId="4" fontId="33" fillId="66" borderId="60" xfId="0" applyNumberFormat="1" applyFont="1" applyFill="1" applyBorder="1"/>
    <xf numFmtId="4" fontId="54" fillId="66" borderId="61" xfId="0" applyNumberFormat="1" applyFont="1" applyFill="1" applyBorder="1"/>
    <xf numFmtId="0" fontId="33" fillId="66" borderId="60" xfId="0" applyNumberFormat="1" applyFont="1" applyFill="1" applyBorder="1"/>
    <xf numFmtId="0" fontId="33" fillId="66" borderId="61" xfId="0" applyNumberFormat="1" applyFont="1" applyFill="1" applyBorder="1"/>
    <xf numFmtId="0" fontId="33" fillId="66" borderId="51" xfId="0" applyNumberFormat="1" applyFont="1" applyFill="1" applyBorder="1" applyAlignment="1">
      <alignment horizontal="center"/>
    </xf>
    <xf numFmtId="4" fontId="33" fillId="66" borderId="52" xfId="0" applyNumberFormat="1" applyFont="1" applyFill="1" applyBorder="1"/>
    <xf numFmtId="0" fontId="33" fillId="66" borderId="52" xfId="0" applyNumberFormat="1" applyFont="1" applyFill="1" applyBorder="1"/>
    <xf numFmtId="0" fontId="33" fillId="66" borderId="59" xfId="0" applyNumberFormat="1" applyFont="1" applyFill="1" applyBorder="1" applyAlignment="1">
      <alignment horizontal="center"/>
    </xf>
    <xf numFmtId="4" fontId="33" fillId="66" borderId="59" xfId="0" applyNumberFormat="1" applyFont="1" applyFill="1" applyBorder="1"/>
    <xf numFmtId="0" fontId="33" fillId="66" borderId="59" xfId="0" applyNumberFormat="1" applyFont="1" applyFill="1" applyBorder="1"/>
    <xf numFmtId="4" fontId="54" fillId="66" borderId="52" xfId="0" applyNumberFormat="1" applyFont="1" applyFill="1" applyBorder="1"/>
    <xf numFmtId="0" fontId="34" fillId="68" borderId="50" xfId="0" applyFont="1" applyFill="1" applyBorder="1"/>
    <xf numFmtId="0" fontId="34" fillId="68" borderId="50" xfId="0" applyFont="1" applyFill="1" applyBorder="1" applyAlignment="1">
      <alignment horizontal="center"/>
    </xf>
    <xf numFmtId="0" fontId="34" fillId="68" borderId="51" xfId="0" applyFont="1" applyFill="1" applyBorder="1"/>
    <xf numFmtId="0" fontId="34" fillId="68" borderId="52" xfId="0" applyFont="1" applyFill="1" applyBorder="1"/>
    <xf numFmtId="0" fontId="34" fillId="68" borderId="53" xfId="0" applyFont="1" applyFill="1" applyBorder="1"/>
    <xf numFmtId="0" fontId="34" fillId="68" borderId="54" xfId="0" applyFont="1" applyFill="1" applyBorder="1"/>
    <xf numFmtId="0" fontId="34" fillId="68" borderId="55" xfId="0" applyFont="1" applyFill="1" applyBorder="1"/>
    <xf numFmtId="0" fontId="34" fillId="68" borderId="56" xfId="0" applyFont="1" applyFill="1" applyBorder="1"/>
    <xf numFmtId="0" fontId="34" fillId="68" borderId="34" xfId="0" applyNumberFormat="1" applyFont="1" applyFill="1" applyBorder="1"/>
    <xf numFmtId="0" fontId="34" fillId="68" borderId="34" xfId="0" applyNumberFormat="1" applyFont="1" applyFill="1" applyBorder="1" applyAlignment="1">
      <alignment horizontal="center"/>
    </xf>
    <xf numFmtId="0" fontId="54" fillId="68" borderId="52" xfId="0" applyFont="1" applyFill="1" applyBorder="1"/>
    <xf numFmtId="0" fontId="34" fillId="68" borderId="57" xfId="0" applyNumberFormat="1" applyFont="1" applyFill="1" applyBorder="1" applyAlignment="1">
      <alignment horizontal="center"/>
    </xf>
    <xf numFmtId="0" fontId="34" fillId="68" borderId="58" xfId="0" applyFont="1" applyFill="1" applyBorder="1"/>
    <xf numFmtId="0" fontId="34" fillId="68" borderId="54" xfId="0" applyNumberFormat="1" applyFont="1" applyFill="1" applyBorder="1" applyAlignment="1">
      <alignment horizontal="center"/>
    </xf>
    <xf numFmtId="0" fontId="54" fillId="68" borderId="55" xfId="0" applyFont="1" applyFill="1" applyBorder="1"/>
    <xf numFmtId="4" fontId="54" fillId="68" borderId="55" xfId="0" applyNumberFormat="1" applyFont="1" applyFill="1" applyBorder="1"/>
    <xf numFmtId="0" fontId="34" fillId="68" borderId="55" xfId="0" applyNumberFormat="1" applyFont="1" applyFill="1" applyBorder="1"/>
    <xf numFmtId="0" fontId="34" fillId="68" borderId="59" xfId="0" applyFont="1" applyFill="1" applyBorder="1"/>
    <xf numFmtId="0" fontId="34" fillId="68" borderId="60" xfId="0" applyNumberFormat="1" applyFont="1" applyFill="1" applyBorder="1" applyAlignment="1">
      <alignment horizontal="center"/>
    </xf>
    <xf numFmtId="0" fontId="34" fillId="68" borderId="61" xfId="0" applyNumberFormat="1" applyFont="1" applyFill="1" applyBorder="1" applyAlignment="1">
      <alignment horizontal="center"/>
    </xf>
    <xf numFmtId="0" fontId="34" fillId="68" borderId="60" xfId="0" applyFont="1" applyFill="1" applyBorder="1"/>
    <xf numFmtId="0" fontId="34" fillId="68" borderId="61" xfId="0" applyFont="1" applyFill="1" applyBorder="1"/>
    <xf numFmtId="0" fontId="54" fillId="68" borderId="59" xfId="0" applyFont="1" applyFill="1" applyBorder="1"/>
    <xf numFmtId="0" fontId="54" fillId="68" borderId="61" xfId="0" applyFont="1" applyFill="1" applyBorder="1"/>
    <xf numFmtId="4" fontId="34" fillId="68" borderId="60" xfId="0" applyNumberFormat="1" applyFont="1" applyFill="1" applyBorder="1"/>
    <xf numFmtId="4" fontId="54" fillId="68" borderId="61" xfId="0" applyNumberFormat="1" applyFont="1" applyFill="1" applyBorder="1"/>
    <xf numFmtId="0" fontId="34" fillId="68" borderId="60" xfId="0" applyNumberFormat="1" applyFont="1" applyFill="1" applyBorder="1"/>
    <xf numFmtId="0" fontId="34" fillId="68" borderId="61" xfId="0" applyNumberFormat="1" applyFont="1" applyFill="1" applyBorder="1"/>
    <xf numFmtId="0" fontId="34" fillId="68" borderId="51" xfId="0" applyNumberFormat="1" applyFont="1" applyFill="1" applyBorder="1" applyAlignment="1">
      <alignment horizontal="center"/>
    </xf>
    <xf numFmtId="4" fontId="34" fillId="68" borderId="52" xfId="0" applyNumberFormat="1" applyFont="1" applyFill="1" applyBorder="1"/>
    <xf numFmtId="0" fontId="34" fillId="68" borderId="52" xfId="0" applyNumberFormat="1" applyFont="1" applyFill="1" applyBorder="1"/>
    <xf numFmtId="0" fontId="34" fillId="68" borderId="59" xfId="0" applyNumberFormat="1" applyFont="1" applyFill="1" applyBorder="1" applyAlignment="1">
      <alignment horizontal="center"/>
    </xf>
    <xf numFmtId="4" fontId="34" fillId="68" borderId="59" xfId="0" applyNumberFormat="1" applyFont="1" applyFill="1" applyBorder="1"/>
    <xf numFmtId="0" fontId="34" fillId="68" borderId="59" xfId="0" applyNumberFormat="1" applyFont="1" applyFill="1" applyBorder="1"/>
    <xf numFmtId="4" fontId="54" fillId="68" borderId="52" xfId="0" applyNumberFormat="1" applyFont="1" applyFill="1" applyBorder="1"/>
    <xf numFmtId="0" fontId="35" fillId="70" borderId="50" xfId="0" applyFont="1" applyFill="1" applyBorder="1"/>
    <xf numFmtId="0" fontId="35" fillId="70" borderId="50" xfId="0" applyFont="1" applyFill="1" applyBorder="1" applyAlignment="1">
      <alignment horizontal="center"/>
    </xf>
    <xf numFmtId="0" fontId="35" fillId="70" borderId="51" xfId="0" applyFont="1" applyFill="1" applyBorder="1"/>
    <xf numFmtId="0" fontId="35" fillId="70" borderId="52" xfId="0" applyFont="1" applyFill="1" applyBorder="1"/>
    <xf numFmtId="0" fontId="35" fillId="70" borderId="53" xfId="0" applyFont="1" applyFill="1" applyBorder="1"/>
    <xf numFmtId="0" fontId="35" fillId="70" borderId="54" xfId="0" applyFont="1" applyFill="1" applyBorder="1"/>
    <xf numFmtId="0" fontId="35" fillId="70" borderId="55" xfId="0" applyFont="1" applyFill="1" applyBorder="1"/>
    <xf numFmtId="0" fontId="35" fillId="70" borderId="56" xfId="0" applyFont="1" applyFill="1" applyBorder="1"/>
    <xf numFmtId="0" fontId="35" fillId="70" borderId="35" xfId="0" applyNumberFormat="1" applyFont="1" applyFill="1" applyBorder="1"/>
    <xf numFmtId="0" fontId="35" fillId="70" borderId="35" xfId="0" applyNumberFormat="1" applyFont="1" applyFill="1" applyBorder="1" applyAlignment="1">
      <alignment horizontal="center"/>
    </xf>
    <xf numFmtId="0" fontId="54" fillId="70" borderId="52" xfId="0" applyFont="1" applyFill="1" applyBorder="1"/>
    <xf numFmtId="0" fontId="35" fillId="70" borderId="57" xfId="0" applyNumberFormat="1" applyFont="1" applyFill="1" applyBorder="1" applyAlignment="1">
      <alignment horizontal="center"/>
    </xf>
    <xf numFmtId="0" fontId="35" fillId="70" borderId="58" xfId="0" applyFont="1" applyFill="1" applyBorder="1"/>
    <xf numFmtId="0" fontId="35" fillId="70" borderId="54" xfId="0" applyNumberFormat="1" applyFont="1" applyFill="1" applyBorder="1" applyAlignment="1">
      <alignment horizontal="center"/>
    </xf>
    <xf numFmtId="0" fontId="54" fillId="70" borderId="55" xfId="0" applyFont="1" applyFill="1" applyBorder="1"/>
    <xf numFmtId="4" fontId="54" fillId="70" borderId="55" xfId="0" applyNumberFormat="1" applyFont="1" applyFill="1" applyBorder="1"/>
    <xf numFmtId="0" fontId="35" fillId="70" borderId="55" xfId="0" applyNumberFormat="1" applyFont="1" applyFill="1" applyBorder="1"/>
    <xf numFmtId="0" fontId="35" fillId="70" borderId="59" xfId="0" applyFont="1" applyFill="1" applyBorder="1"/>
    <xf numFmtId="0" fontId="35" fillId="70" borderId="60" xfId="0" applyNumberFormat="1" applyFont="1" applyFill="1" applyBorder="1" applyAlignment="1">
      <alignment horizontal="center"/>
    </xf>
    <xf numFmtId="0" fontId="35" fillId="70" borderId="61" xfId="0" applyNumberFormat="1" applyFont="1" applyFill="1" applyBorder="1" applyAlignment="1">
      <alignment horizontal="center"/>
    </xf>
    <xf numFmtId="0" fontId="35" fillId="70" borderId="60" xfId="0" applyFont="1" applyFill="1" applyBorder="1"/>
    <xf numFmtId="0" fontId="35" fillId="70" borderId="61" xfId="0" applyFont="1" applyFill="1" applyBorder="1"/>
    <xf numFmtId="0" fontId="54" fillId="70" borderId="59" xfId="0" applyFont="1" applyFill="1" applyBorder="1"/>
    <xf numFmtId="0" fontId="54" fillId="70" borderId="61" xfId="0" applyFont="1" applyFill="1" applyBorder="1"/>
    <xf numFmtId="4" fontId="35" fillId="70" borderId="60" xfId="0" applyNumberFormat="1" applyFont="1" applyFill="1" applyBorder="1"/>
    <xf numFmtId="4" fontId="54" fillId="70" borderId="61" xfId="0" applyNumberFormat="1" applyFont="1" applyFill="1" applyBorder="1"/>
    <xf numFmtId="0" fontId="35" fillId="70" borderId="60" xfId="0" applyNumberFormat="1" applyFont="1" applyFill="1" applyBorder="1"/>
    <xf numFmtId="0" fontId="35" fillId="70" borderId="61" xfId="0" applyNumberFormat="1" applyFont="1" applyFill="1" applyBorder="1"/>
    <xf numFmtId="0" fontId="35" fillId="70" borderId="51" xfId="0" applyNumberFormat="1" applyFont="1" applyFill="1" applyBorder="1" applyAlignment="1">
      <alignment horizontal="center"/>
    </xf>
    <xf numFmtId="4" fontId="35" fillId="70" borderId="52" xfId="0" applyNumberFormat="1" applyFont="1" applyFill="1" applyBorder="1"/>
    <xf numFmtId="0" fontId="35" fillId="70" borderId="52" xfId="0" applyNumberFormat="1" applyFont="1" applyFill="1" applyBorder="1"/>
    <xf numFmtId="0" fontId="35" fillId="70" borderId="59" xfId="0" applyNumberFormat="1" applyFont="1" applyFill="1" applyBorder="1" applyAlignment="1">
      <alignment horizontal="center"/>
    </xf>
    <xf numFmtId="4" fontId="35" fillId="70" borderId="59" xfId="0" applyNumberFormat="1" applyFont="1" applyFill="1" applyBorder="1"/>
    <xf numFmtId="0" fontId="35" fillId="70" borderId="59" xfId="0" applyNumberFormat="1" applyFont="1" applyFill="1" applyBorder="1"/>
    <xf numFmtId="4" fontId="54" fillId="70" borderId="52" xfId="0" applyNumberFormat="1" applyFont="1" applyFill="1" applyBorder="1"/>
    <xf numFmtId="0" fontId="36" fillId="72" borderId="50" xfId="0" applyFont="1" applyFill="1" applyBorder="1"/>
    <xf numFmtId="0" fontId="36" fillId="72" borderId="50" xfId="0" applyFont="1" applyFill="1" applyBorder="1" applyAlignment="1">
      <alignment horizontal="center"/>
    </xf>
    <xf numFmtId="0" fontId="36" fillId="72" borderId="51" xfId="0" applyFont="1" applyFill="1" applyBorder="1"/>
    <xf numFmtId="0" fontId="36" fillId="72" borderId="52" xfId="0" applyFont="1" applyFill="1" applyBorder="1"/>
    <xf numFmtId="0" fontId="36" fillId="72" borderId="53" xfId="0" applyFont="1" applyFill="1" applyBorder="1"/>
    <xf numFmtId="0" fontId="36" fillId="72" borderId="54" xfId="0" applyFont="1" applyFill="1" applyBorder="1"/>
    <xf numFmtId="0" fontId="36" fillId="72" borderId="55" xfId="0" applyFont="1" applyFill="1" applyBorder="1"/>
    <xf numFmtId="0" fontId="36" fillId="72" borderId="56" xfId="0" applyFont="1" applyFill="1" applyBorder="1"/>
    <xf numFmtId="0" fontId="36" fillId="72" borderId="36" xfId="0" applyNumberFormat="1" applyFont="1" applyFill="1" applyBorder="1"/>
    <xf numFmtId="0" fontId="36" fillId="72" borderId="36" xfId="0" applyNumberFormat="1" applyFont="1" applyFill="1" applyBorder="1" applyAlignment="1">
      <alignment horizontal="center"/>
    </xf>
    <xf numFmtId="0" fontId="54" fillId="72" borderId="52" xfId="0" applyFont="1" applyFill="1" applyBorder="1"/>
    <xf numFmtId="0" fontId="36" fillId="72" borderId="57" xfId="0" applyNumberFormat="1" applyFont="1" applyFill="1" applyBorder="1" applyAlignment="1">
      <alignment horizontal="center"/>
    </xf>
    <xf numFmtId="0" fontId="36" fillId="72" borderId="58" xfId="0" applyFont="1" applyFill="1" applyBorder="1"/>
    <xf numFmtId="0" fontId="36" fillId="72" borderId="54" xfId="0" applyNumberFormat="1" applyFont="1" applyFill="1" applyBorder="1" applyAlignment="1">
      <alignment horizontal="center"/>
    </xf>
    <xf numFmtId="0" fontId="54" fillId="72" borderId="55" xfId="0" applyFont="1" applyFill="1" applyBorder="1"/>
    <xf numFmtId="4" fontId="54" fillId="72" borderId="55" xfId="0" applyNumberFormat="1" applyFont="1" applyFill="1" applyBorder="1"/>
    <xf numFmtId="0" fontId="36" fillId="72" borderId="55" xfId="0" applyNumberFormat="1" applyFont="1" applyFill="1" applyBorder="1"/>
    <xf numFmtId="0" fontId="36" fillId="72" borderId="59" xfId="0" applyFont="1" applyFill="1" applyBorder="1"/>
    <xf numFmtId="0" fontId="36" fillId="72" borderId="60" xfId="0" applyNumberFormat="1" applyFont="1" applyFill="1" applyBorder="1" applyAlignment="1">
      <alignment horizontal="center"/>
    </xf>
    <xf numFmtId="0" fontId="36" fillId="72" borderId="61" xfId="0" applyNumberFormat="1" applyFont="1" applyFill="1" applyBorder="1" applyAlignment="1">
      <alignment horizontal="center"/>
    </xf>
    <xf numFmtId="0" fontId="36" fillId="72" borderId="60" xfId="0" applyFont="1" applyFill="1" applyBorder="1"/>
    <xf numFmtId="0" fontId="36" fillId="72" borderId="61" xfId="0" applyFont="1" applyFill="1" applyBorder="1"/>
    <xf numFmtId="0" fontId="54" fillId="72" borderId="59" xfId="0" applyFont="1" applyFill="1" applyBorder="1"/>
    <xf numFmtId="0" fontId="54" fillId="72" borderId="61" xfId="0" applyFont="1" applyFill="1" applyBorder="1"/>
    <xf numFmtId="4" fontId="36" fillId="72" borderId="60" xfId="0" applyNumberFormat="1" applyFont="1" applyFill="1" applyBorder="1"/>
    <xf numFmtId="4" fontId="54" fillId="72" borderId="61" xfId="0" applyNumberFormat="1" applyFont="1" applyFill="1" applyBorder="1"/>
    <xf numFmtId="0" fontId="36" fillId="72" borderId="60" xfId="0" applyNumberFormat="1" applyFont="1" applyFill="1" applyBorder="1"/>
    <xf numFmtId="0" fontId="36" fillId="72" borderId="61" xfId="0" applyNumberFormat="1" applyFont="1" applyFill="1" applyBorder="1"/>
    <xf numFmtId="0" fontId="36" fillId="72" borderId="51" xfId="0" applyNumberFormat="1" applyFont="1" applyFill="1" applyBorder="1" applyAlignment="1">
      <alignment horizontal="center"/>
    </xf>
    <xf numFmtId="4" fontId="36" fillId="72" borderId="52" xfId="0" applyNumberFormat="1" applyFont="1" applyFill="1" applyBorder="1"/>
    <xf numFmtId="0" fontId="36" fillId="72" borderId="52" xfId="0" applyNumberFormat="1" applyFont="1" applyFill="1" applyBorder="1"/>
    <xf numFmtId="0" fontId="36" fillId="72" borderId="59" xfId="0" applyNumberFormat="1" applyFont="1" applyFill="1" applyBorder="1" applyAlignment="1">
      <alignment horizontal="center"/>
    </xf>
    <xf numFmtId="4" fontId="36" fillId="72" borderId="59" xfId="0" applyNumberFormat="1" applyFont="1" applyFill="1" applyBorder="1"/>
    <xf numFmtId="0" fontId="36" fillId="72" borderId="59" xfId="0" applyNumberFormat="1" applyFont="1" applyFill="1" applyBorder="1"/>
    <xf numFmtId="4" fontId="54" fillId="72" borderId="52" xfId="0" applyNumberFormat="1" applyFont="1" applyFill="1" applyBorder="1"/>
    <xf numFmtId="0" fontId="37" fillId="74" borderId="50" xfId="0" applyFont="1" applyFill="1" applyBorder="1"/>
    <xf numFmtId="0" fontId="37" fillId="74" borderId="50" xfId="0" applyFont="1" applyFill="1" applyBorder="1" applyAlignment="1">
      <alignment horizontal="center"/>
    </xf>
    <xf numFmtId="0" fontId="37" fillId="74" borderId="51" xfId="0" applyFont="1" applyFill="1" applyBorder="1"/>
    <xf numFmtId="0" fontId="37" fillId="74" borderId="52" xfId="0" applyFont="1" applyFill="1" applyBorder="1"/>
    <xf numFmtId="0" fontId="37" fillId="74" borderId="53" xfId="0" applyFont="1" applyFill="1" applyBorder="1"/>
    <xf numFmtId="0" fontId="37" fillId="74" borderId="54" xfId="0" applyFont="1" applyFill="1" applyBorder="1"/>
    <xf numFmtId="0" fontId="37" fillId="74" borderId="55" xfId="0" applyFont="1" applyFill="1" applyBorder="1"/>
    <xf numFmtId="0" fontId="37" fillId="74" borderId="56" xfId="0" applyFont="1" applyFill="1" applyBorder="1"/>
    <xf numFmtId="0" fontId="37" fillId="74" borderId="37" xfId="0" applyNumberFormat="1" applyFont="1" applyFill="1" applyBorder="1"/>
    <xf numFmtId="0" fontId="37" fillId="74" borderId="37" xfId="0" applyNumberFormat="1" applyFont="1" applyFill="1" applyBorder="1" applyAlignment="1">
      <alignment horizontal="center"/>
    </xf>
    <xf numFmtId="0" fontId="54" fillId="74" borderId="52" xfId="0" applyFont="1" applyFill="1" applyBorder="1"/>
    <xf numFmtId="0" fontId="37" fillId="74" borderId="57" xfId="0" applyNumberFormat="1" applyFont="1" applyFill="1" applyBorder="1" applyAlignment="1">
      <alignment horizontal="center"/>
    </xf>
    <xf numFmtId="0" fontId="37" fillId="74" borderId="58" xfId="0" applyFont="1" applyFill="1" applyBorder="1"/>
    <xf numFmtId="0" fontId="37" fillId="74" borderId="54" xfId="0" applyNumberFormat="1" applyFont="1" applyFill="1" applyBorder="1" applyAlignment="1">
      <alignment horizontal="center"/>
    </xf>
    <xf numFmtId="0" fontId="54" fillId="74" borderId="55" xfId="0" applyFont="1" applyFill="1" applyBorder="1"/>
    <xf numFmtId="4" fontId="54" fillId="74" borderId="55" xfId="0" applyNumberFormat="1" applyFont="1" applyFill="1" applyBorder="1"/>
    <xf numFmtId="0" fontId="37" fillId="74" borderId="55" xfId="0" applyNumberFormat="1" applyFont="1" applyFill="1" applyBorder="1"/>
    <xf numFmtId="0" fontId="37" fillId="74" borderId="59" xfId="0" applyFont="1" applyFill="1" applyBorder="1"/>
    <xf numFmtId="0" fontId="37" fillId="74" borderId="60" xfId="0" applyNumberFormat="1" applyFont="1" applyFill="1" applyBorder="1" applyAlignment="1">
      <alignment horizontal="center"/>
    </xf>
    <xf numFmtId="0" fontId="37" fillId="74" borderId="61" xfId="0" applyNumberFormat="1" applyFont="1" applyFill="1" applyBorder="1" applyAlignment="1">
      <alignment horizontal="center"/>
    </xf>
    <xf numFmtId="0" fontId="37" fillId="74" borderId="60" xfId="0" applyFont="1" applyFill="1" applyBorder="1"/>
    <xf numFmtId="0" fontId="37" fillId="74" borderId="61" xfId="0" applyFont="1" applyFill="1" applyBorder="1"/>
    <xf numFmtId="0" fontId="54" fillId="74" borderId="59" xfId="0" applyFont="1" applyFill="1" applyBorder="1"/>
    <xf numFmtId="0" fontId="54" fillId="74" borderId="61" xfId="0" applyFont="1" applyFill="1" applyBorder="1"/>
    <xf numFmtId="4" fontId="37" fillId="74" borderId="60" xfId="0" applyNumberFormat="1" applyFont="1" applyFill="1" applyBorder="1"/>
    <xf numFmtId="4" fontId="54" fillId="74" borderId="61" xfId="0" applyNumberFormat="1" applyFont="1" applyFill="1" applyBorder="1"/>
    <xf numFmtId="0" fontId="37" fillId="74" borderId="60" xfId="0" applyNumberFormat="1" applyFont="1" applyFill="1" applyBorder="1"/>
    <xf numFmtId="0" fontId="37" fillId="74" borderId="61" xfId="0" applyNumberFormat="1" applyFont="1" applyFill="1" applyBorder="1"/>
    <xf numFmtId="0" fontId="37" fillId="74" borderId="51" xfId="0" applyNumberFormat="1" applyFont="1" applyFill="1" applyBorder="1" applyAlignment="1">
      <alignment horizontal="center"/>
    </xf>
    <xf numFmtId="4" fontId="37" fillId="74" borderId="52" xfId="0" applyNumberFormat="1" applyFont="1" applyFill="1" applyBorder="1"/>
    <xf numFmtId="0" fontId="37" fillId="74" borderId="52" xfId="0" applyNumberFormat="1" applyFont="1" applyFill="1" applyBorder="1"/>
    <xf numFmtId="0" fontId="37" fillId="74" borderId="59" xfId="0" applyNumberFormat="1" applyFont="1" applyFill="1" applyBorder="1" applyAlignment="1">
      <alignment horizontal="center"/>
    </xf>
    <xf numFmtId="4" fontId="37" fillId="74" borderId="59" xfId="0" applyNumberFormat="1" applyFont="1" applyFill="1" applyBorder="1"/>
    <xf numFmtId="0" fontId="37" fillId="74" borderId="59" xfId="0" applyNumberFormat="1" applyFont="1" applyFill="1" applyBorder="1"/>
    <xf numFmtId="4" fontId="54" fillId="74" borderId="52" xfId="0" applyNumberFormat="1" applyFont="1" applyFill="1" applyBorder="1"/>
    <xf numFmtId="0" fontId="38" fillId="76" borderId="50" xfId="0" applyFont="1" applyFill="1" applyBorder="1"/>
    <xf numFmtId="0" fontId="38" fillId="76" borderId="50" xfId="0" applyFont="1" applyFill="1" applyBorder="1" applyAlignment="1">
      <alignment horizontal="center"/>
    </xf>
    <xf numFmtId="0" fontId="38" fillId="76" borderId="51" xfId="0" applyFont="1" applyFill="1" applyBorder="1"/>
    <xf numFmtId="0" fontId="38" fillId="76" borderId="52" xfId="0" applyFont="1" applyFill="1" applyBorder="1"/>
    <xf numFmtId="0" fontId="38" fillId="76" borderId="53" xfId="0" applyFont="1" applyFill="1" applyBorder="1"/>
    <xf numFmtId="0" fontId="38" fillId="76" borderId="54" xfId="0" applyFont="1" applyFill="1" applyBorder="1"/>
    <xf numFmtId="0" fontId="38" fillId="76" borderId="55" xfId="0" applyFont="1" applyFill="1" applyBorder="1"/>
    <xf numFmtId="0" fontId="38" fillId="76" borderId="56" xfId="0" applyFont="1" applyFill="1" applyBorder="1"/>
    <xf numFmtId="0" fontId="38" fillId="76" borderId="38" xfId="0" applyNumberFormat="1" applyFont="1" applyFill="1" applyBorder="1"/>
    <xf numFmtId="0" fontId="38" fillId="76" borderId="38" xfId="0" applyNumberFormat="1" applyFont="1" applyFill="1" applyBorder="1" applyAlignment="1">
      <alignment horizontal="center"/>
    </xf>
    <xf numFmtId="0" fontId="54" fillId="76" borderId="52" xfId="0" applyFont="1" applyFill="1" applyBorder="1"/>
    <xf numFmtId="0" fontId="38" fillId="76" borderId="57" xfId="0" applyNumberFormat="1" applyFont="1" applyFill="1" applyBorder="1" applyAlignment="1">
      <alignment horizontal="center"/>
    </xf>
    <xf numFmtId="0" fontId="38" fillId="76" borderId="58" xfId="0" applyFont="1" applyFill="1" applyBorder="1"/>
    <xf numFmtId="0" fontId="38" fillId="76" borderId="54" xfId="0" applyNumberFormat="1" applyFont="1" applyFill="1" applyBorder="1" applyAlignment="1">
      <alignment horizontal="center"/>
    </xf>
    <xf numFmtId="0" fontId="54" fillId="76" borderId="55" xfId="0" applyFont="1" applyFill="1" applyBorder="1"/>
    <xf numFmtId="4" fontId="54" fillId="76" borderId="55" xfId="0" applyNumberFormat="1" applyFont="1" applyFill="1" applyBorder="1"/>
    <xf numFmtId="0" fontId="38" fillId="76" borderId="55" xfId="0" applyNumberFormat="1" applyFont="1" applyFill="1" applyBorder="1"/>
    <xf numFmtId="0" fontId="38" fillId="76" borderId="59" xfId="0" applyFont="1" applyFill="1" applyBorder="1"/>
    <xf numFmtId="0" fontId="38" fillId="76" borderId="60" xfId="0" applyNumberFormat="1" applyFont="1" applyFill="1" applyBorder="1" applyAlignment="1">
      <alignment horizontal="center"/>
    </xf>
    <xf numFmtId="0" fontId="38" fillId="76" borderId="61" xfId="0" applyNumberFormat="1" applyFont="1" applyFill="1" applyBorder="1" applyAlignment="1">
      <alignment horizontal="center"/>
    </xf>
    <xf numFmtId="0" fontId="38" fillId="76" borderId="60" xfId="0" applyFont="1" applyFill="1" applyBorder="1"/>
    <xf numFmtId="0" fontId="38" fillId="76" borderId="61" xfId="0" applyFont="1" applyFill="1" applyBorder="1"/>
    <xf numFmtId="0" fontId="54" fillId="76" borderId="59" xfId="0" applyFont="1" applyFill="1" applyBorder="1"/>
    <xf numFmtId="0" fontId="54" fillId="76" borderId="61" xfId="0" applyFont="1" applyFill="1" applyBorder="1"/>
    <xf numFmtId="4" fontId="38" fillId="76" borderId="60" xfId="0" applyNumberFormat="1" applyFont="1" applyFill="1" applyBorder="1"/>
    <xf numFmtId="4" fontId="54" fillId="76" borderId="61" xfId="0" applyNumberFormat="1" applyFont="1" applyFill="1" applyBorder="1"/>
    <xf numFmtId="0" fontId="38" fillId="76" borderId="60" xfId="0" applyNumberFormat="1" applyFont="1" applyFill="1" applyBorder="1"/>
    <xf numFmtId="0" fontId="38" fillId="76" borderId="61" xfId="0" applyNumberFormat="1" applyFont="1" applyFill="1" applyBorder="1"/>
    <xf numFmtId="0" fontId="38" fillId="76" borderId="51" xfId="0" applyNumberFormat="1" applyFont="1" applyFill="1" applyBorder="1" applyAlignment="1">
      <alignment horizontal="center"/>
    </xf>
    <xf numFmtId="4" fontId="38" fillId="76" borderId="52" xfId="0" applyNumberFormat="1" applyFont="1" applyFill="1" applyBorder="1"/>
    <xf numFmtId="0" fontId="38" fillId="76" borderId="52" xfId="0" applyNumberFormat="1" applyFont="1" applyFill="1" applyBorder="1"/>
    <xf numFmtId="0" fontId="38" fillId="76" borderId="59" xfId="0" applyNumberFormat="1" applyFont="1" applyFill="1" applyBorder="1" applyAlignment="1">
      <alignment horizontal="center"/>
    </xf>
    <xf numFmtId="4" fontId="38" fillId="76" borderId="59" xfId="0" applyNumberFormat="1" applyFont="1" applyFill="1" applyBorder="1"/>
    <xf numFmtId="0" fontId="38" fillId="76" borderId="59" xfId="0" applyNumberFormat="1" applyFont="1" applyFill="1" applyBorder="1"/>
    <xf numFmtId="4" fontId="54" fillId="76" borderId="52" xfId="0" applyNumberFormat="1" applyFont="1" applyFill="1" applyBorder="1"/>
    <xf numFmtId="0" fontId="39" fillId="78" borderId="50" xfId="0" applyFont="1" applyFill="1" applyBorder="1"/>
    <xf numFmtId="0" fontId="39" fillId="78" borderId="50" xfId="0" applyFont="1" applyFill="1" applyBorder="1" applyAlignment="1">
      <alignment horizontal="center"/>
    </xf>
    <xf numFmtId="0" fontId="39" fillId="78" borderId="51" xfId="0" applyFont="1" applyFill="1" applyBorder="1"/>
    <xf numFmtId="0" fontId="39" fillId="78" borderId="52" xfId="0" applyFont="1" applyFill="1" applyBorder="1"/>
    <xf numFmtId="0" fontId="39" fillId="78" borderId="53" xfId="0" applyFont="1" applyFill="1" applyBorder="1"/>
    <xf numFmtId="0" fontId="39" fillId="78" borderId="54" xfId="0" applyFont="1" applyFill="1" applyBorder="1"/>
    <xf numFmtId="0" fontId="39" fillId="78" borderId="55" xfId="0" applyFont="1" applyFill="1" applyBorder="1"/>
    <xf numFmtId="0" fontId="39" fillId="78" borderId="56" xfId="0" applyFont="1" applyFill="1" applyBorder="1"/>
    <xf numFmtId="0" fontId="39" fillId="78" borderId="39" xfId="0" applyNumberFormat="1" applyFont="1" applyFill="1" applyBorder="1"/>
    <xf numFmtId="0" fontId="39" fillId="78" borderId="39" xfId="0" applyNumberFormat="1" applyFont="1" applyFill="1" applyBorder="1" applyAlignment="1">
      <alignment horizontal="center"/>
    </xf>
    <xf numFmtId="0" fontId="54" fillId="78" borderId="52" xfId="0" applyFont="1" applyFill="1" applyBorder="1"/>
    <xf numFmtId="0" fontId="39" fillId="78" borderId="57" xfId="0" applyNumberFormat="1" applyFont="1" applyFill="1" applyBorder="1" applyAlignment="1">
      <alignment horizontal="center"/>
    </xf>
    <xf numFmtId="0" fontId="39" fillId="78" borderId="58" xfId="0" applyFont="1" applyFill="1" applyBorder="1"/>
    <xf numFmtId="0" fontId="39" fillId="78" borderId="54" xfId="0" applyNumberFormat="1" applyFont="1" applyFill="1" applyBorder="1" applyAlignment="1">
      <alignment horizontal="center"/>
    </xf>
    <xf numFmtId="0" fontId="54" fillId="78" borderId="55" xfId="0" applyFont="1" applyFill="1" applyBorder="1"/>
    <xf numFmtId="4" fontId="54" fillId="78" borderId="55" xfId="0" applyNumberFormat="1" applyFont="1" applyFill="1" applyBorder="1"/>
    <xf numFmtId="0" fontId="39" fillId="78" borderId="55" xfId="0" applyNumberFormat="1" applyFont="1" applyFill="1" applyBorder="1"/>
    <xf numFmtId="0" fontId="39" fillId="78" borderId="59" xfId="0" applyFont="1" applyFill="1" applyBorder="1"/>
    <xf numFmtId="0" fontId="39" fillId="78" borderId="60" xfId="0" applyNumberFormat="1" applyFont="1" applyFill="1" applyBorder="1" applyAlignment="1">
      <alignment horizontal="center"/>
    </xf>
    <xf numFmtId="0" fontId="39" fillId="78" borderId="61" xfId="0" applyNumberFormat="1" applyFont="1" applyFill="1" applyBorder="1" applyAlignment="1">
      <alignment horizontal="center"/>
    </xf>
    <xf numFmtId="0" fontId="39" fillId="78" borderId="60" xfId="0" applyFont="1" applyFill="1" applyBorder="1"/>
    <xf numFmtId="0" fontId="39" fillId="78" borderId="61" xfId="0" applyFont="1" applyFill="1" applyBorder="1"/>
    <xf numFmtId="0" fontId="54" fillId="78" borderId="59" xfId="0" applyFont="1" applyFill="1" applyBorder="1"/>
    <xf numFmtId="0" fontId="54" fillId="78" borderId="61" xfId="0" applyFont="1" applyFill="1" applyBorder="1"/>
    <xf numFmtId="4" fontId="39" fillId="78" borderId="60" xfId="0" applyNumberFormat="1" applyFont="1" applyFill="1" applyBorder="1"/>
    <xf numFmtId="4" fontId="54" fillId="78" borderId="61" xfId="0" applyNumberFormat="1" applyFont="1" applyFill="1" applyBorder="1"/>
    <xf numFmtId="0" fontId="39" fillId="78" borderId="60" xfId="0" applyNumberFormat="1" applyFont="1" applyFill="1" applyBorder="1"/>
    <xf numFmtId="0" fontId="39" fillId="78" borderId="61" xfId="0" applyNumberFormat="1" applyFont="1" applyFill="1" applyBorder="1"/>
    <xf numFmtId="0" fontId="39" fillId="78" borderId="51" xfId="0" applyNumberFormat="1" applyFont="1" applyFill="1" applyBorder="1" applyAlignment="1">
      <alignment horizontal="center"/>
    </xf>
    <xf numFmtId="4" fontId="39" fillId="78" borderId="52" xfId="0" applyNumberFormat="1" applyFont="1" applyFill="1" applyBorder="1"/>
    <xf numFmtId="0" fontId="39" fillId="78" borderId="52" xfId="0" applyNumberFormat="1" applyFont="1" applyFill="1" applyBorder="1"/>
    <xf numFmtId="0" fontId="39" fillId="78" borderId="59" xfId="0" applyNumberFormat="1" applyFont="1" applyFill="1" applyBorder="1" applyAlignment="1">
      <alignment horizontal="center"/>
    </xf>
    <xf numFmtId="4" fontId="39" fillId="78" borderId="59" xfId="0" applyNumberFormat="1" applyFont="1" applyFill="1" applyBorder="1"/>
    <xf numFmtId="0" fontId="39" fillId="78" borderId="59" xfId="0" applyNumberFormat="1" applyFont="1" applyFill="1" applyBorder="1"/>
    <xf numFmtId="4" fontId="54" fillId="78" borderId="52" xfId="0" applyNumberFormat="1" applyFont="1" applyFill="1" applyBorder="1"/>
    <xf numFmtId="0" fontId="40" fillId="80" borderId="50" xfId="0" applyFont="1" applyFill="1" applyBorder="1"/>
    <xf numFmtId="0" fontId="40" fillId="80" borderId="50" xfId="0" applyFont="1" applyFill="1" applyBorder="1" applyAlignment="1">
      <alignment horizontal="center"/>
    </xf>
    <xf numFmtId="0" fontId="40" fillId="80" borderId="51" xfId="0" applyFont="1" applyFill="1" applyBorder="1"/>
    <xf numFmtId="0" fontId="40" fillId="80" borderId="52" xfId="0" applyFont="1" applyFill="1" applyBorder="1"/>
    <xf numFmtId="0" fontId="40" fillId="80" borderId="53" xfId="0" applyFont="1" applyFill="1" applyBorder="1"/>
    <xf numFmtId="0" fontId="40" fillId="80" borderId="54" xfId="0" applyFont="1" applyFill="1" applyBorder="1"/>
    <xf numFmtId="0" fontId="40" fillId="80" borderId="55" xfId="0" applyFont="1" applyFill="1" applyBorder="1"/>
    <xf numFmtId="0" fontId="40" fillId="80" borderId="56" xfId="0" applyFont="1" applyFill="1" applyBorder="1"/>
    <xf numFmtId="0" fontId="40" fillId="80" borderId="40" xfId="0" applyNumberFormat="1" applyFont="1" applyFill="1" applyBorder="1"/>
    <xf numFmtId="0" fontId="40" fillId="80" borderId="40" xfId="0" applyNumberFormat="1" applyFont="1" applyFill="1" applyBorder="1" applyAlignment="1">
      <alignment horizontal="center"/>
    </xf>
    <xf numFmtId="0" fontId="54" fillId="80" borderId="52" xfId="0" applyFont="1" applyFill="1" applyBorder="1"/>
    <xf numFmtId="0" fontId="40" fillId="80" borderId="57" xfId="0" applyNumberFormat="1" applyFont="1" applyFill="1" applyBorder="1" applyAlignment="1">
      <alignment horizontal="center"/>
    </xf>
    <xf numFmtId="0" fontId="40" fillId="80" borderId="58" xfId="0" applyFont="1" applyFill="1" applyBorder="1"/>
    <xf numFmtId="0" fontId="40" fillId="80" borderId="54" xfId="0" applyNumberFormat="1" applyFont="1" applyFill="1" applyBorder="1" applyAlignment="1">
      <alignment horizontal="center"/>
    </xf>
    <xf numFmtId="0" fontId="54" fillId="80" borderId="55" xfId="0" applyFont="1" applyFill="1" applyBorder="1"/>
    <xf numFmtId="4" fontId="54" fillId="80" borderId="55" xfId="0" applyNumberFormat="1" applyFont="1" applyFill="1" applyBorder="1"/>
    <xf numFmtId="0" fontId="40" fillId="80" borderId="55" xfId="0" applyNumberFormat="1" applyFont="1" applyFill="1" applyBorder="1"/>
    <xf numFmtId="0" fontId="40" fillId="80" borderId="59" xfId="0" applyFont="1" applyFill="1" applyBorder="1"/>
    <xf numFmtId="0" fontId="40" fillId="80" borderId="60" xfId="0" applyNumberFormat="1" applyFont="1" applyFill="1" applyBorder="1" applyAlignment="1">
      <alignment horizontal="center"/>
    </xf>
    <xf numFmtId="0" fontId="40" fillId="80" borderId="61" xfId="0" applyNumberFormat="1" applyFont="1" applyFill="1" applyBorder="1" applyAlignment="1">
      <alignment horizontal="center"/>
    </xf>
    <xf numFmtId="0" fontId="40" fillId="80" borderId="60" xfId="0" applyFont="1" applyFill="1" applyBorder="1"/>
    <xf numFmtId="0" fontId="40" fillId="80" borderId="61" xfId="0" applyFont="1" applyFill="1" applyBorder="1"/>
    <xf numFmtId="0" fontId="54" fillId="80" borderId="59" xfId="0" applyFont="1" applyFill="1" applyBorder="1"/>
    <xf numFmtId="0" fontId="54" fillId="80" borderId="61" xfId="0" applyFont="1" applyFill="1" applyBorder="1"/>
    <xf numFmtId="4" fontId="40" fillId="80" borderId="60" xfId="0" applyNumberFormat="1" applyFont="1" applyFill="1" applyBorder="1"/>
    <xf numFmtId="4" fontId="54" fillId="80" borderId="61" xfId="0" applyNumberFormat="1" applyFont="1" applyFill="1" applyBorder="1"/>
    <xf numFmtId="0" fontId="40" fillId="80" borderId="60" xfId="0" applyNumberFormat="1" applyFont="1" applyFill="1" applyBorder="1"/>
    <xf numFmtId="0" fontId="40" fillId="80" borderId="61" xfId="0" applyNumberFormat="1" applyFont="1" applyFill="1" applyBorder="1"/>
    <xf numFmtId="0" fontId="40" fillId="80" borderId="51" xfId="0" applyNumberFormat="1" applyFont="1" applyFill="1" applyBorder="1" applyAlignment="1">
      <alignment horizontal="center"/>
    </xf>
    <xf numFmtId="4" fontId="40" fillId="80" borderId="52" xfId="0" applyNumberFormat="1" applyFont="1" applyFill="1" applyBorder="1"/>
    <xf numFmtId="0" fontId="40" fillId="80" borderId="52" xfId="0" applyNumberFormat="1" applyFont="1" applyFill="1" applyBorder="1"/>
    <xf numFmtId="0" fontId="40" fillId="80" borderId="59" xfId="0" applyNumberFormat="1" applyFont="1" applyFill="1" applyBorder="1" applyAlignment="1">
      <alignment horizontal="center"/>
    </xf>
    <xf numFmtId="4" fontId="40" fillId="80" borderId="59" xfId="0" applyNumberFormat="1" applyFont="1" applyFill="1" applyBorder="1"/>
    <xf numFmtId="0" fontId="40" fillId="80" borderId="59" xfId="0" applyNumberFormat="1" applyFont="1" applyFill="1" applyBorder="1"/>
    <xf numFmtId="4" fontId="54" fillId="80" borderId="52" xfId="0" applyNumberFormat="1" applyFont="1" applyFill="1" applyBorder="1"/>
    <xf numFmtId="0" fontId="41" fillId="82" borderId="50" xfId="0" applyFont="1" applyFill="1" applyBorder="1"/>
    <xf numFmtId="0" fontId="41" fillId="82" borderId="50" xfId="0" applyFont="1" applyFill="1" applyBorder="1" applyAlignment="1">
      <alignment horizontal="center"/>
    </xf>
    <xf numFmtId="0" fontId="41" fillId="82" borderId="51" xfId="0" applyFont="1" applyFill="1" applyBorder="1"/>
    <xf numFmtId="0" fontId="41" fillId="82" borderId="52" xfId="0" applyFont="1" applyFill="1" applyBorder="1"/>
    <xf numFmtId="0" fontId="41" fillId="82" borderId="53" xfId="0" applyFont="1" applyFill="1" applyBorder="1"/>
    <xf numFmtId="0" fontId="41" fillId="82" borderId="54" xfId="0" applyFont="1" applyFill="1" applyBorder="1"/>
    <xf numFmtId="0" fontId="41" fillId="82" borderId="55" xfId="0" applyFont="1" applyFill="1" applyBorder="1"/>
    <xf numFmtId="0" fontId="41" fillId="82" borderId="56" xfId="0" applyFont="1" applyFill="1" applyBorder="1"/>
    <xf numFmtId="0" fontId="41" fillId="82" borderId="41" xfId="0" applyNumberFormat="1" applyFont="1" applyFill="1" applyBorder="1"/>
    <xf numFmtId="0" fontId="41" fillId="82" borderId="41" xfId="0" applyNumberFormat="1" applyFont="1" applyFill="1" applyBorder="1" applyAlignment="1">
      <alignment horizontal="center"/>
    </xf>
    <xf numFmtId="0" fontId="54" fillId="82" borderId="52" xfId="0" applyFont="1" applyFill="1" applyBorder="1"/>
    <xf numFmtId="0" fontId="41" fillId="82" borderId="57" xfId="0" applyNumberFormat="1" applyFont="1" applyFill="1" applyBorder="1" applyAlignment="1">
      <alignment horizontal="center"/>
    </xf>
    <xf numFmtId="0" fontId="41" fillId="82" borderId="58" xfId="0" applyFont="1" applyFill="1" applyBorder="1"/>
    <xf numFmtId="0" fontId="41" fillId="82" borderId="54" xfId="0" applyNumberFormat="1" applyFont="1" applyFill="1" applyBorder="1" applyAlignment="1">
      <alignment horizontal="center"/>
    </xf>
    <xf numFmtId="0" fontId="54" fillId="82" borderId="55" xfId="0" applyFont="1" applyFill="1" applyBorder="1"/>
    <xf numFmtId="4" fontId="54" fillId="82" borderId="55" xfId="0" applyNumberFormat="1" applyFont="1" applyFill="1" applyBorder="1"/>
    <xf numFmtId="0" fontId="41" fillId="82" borderId="55" xfId="0" applyNumberFormat="1" applyFont="1" applyFill="1" applyBorder="1"/>
    <xf numFmtId="0" fontId="41" fillId="82" borderId="59" xfId="0" applyFont="1" applyFill="1" applyBorder="1"/>
    <xf numFmtId="0" fontId="41" fillId="82" borderId="60" xfId="0" applyNumberFormat="1" applyFont="1" applyFill="1" applyBorder="1" applyAlignment="1">
      <alignment horizontal="center"/>
    </xf>
    <xf numFmtId="0" fontId="41" fillId="82" borderId="61" xfId="0" applyNumberFormat="1" applyFont="1" applyFill="1" applyBorder="1" applyAlignment="1">
      <alignment horizontal="center"/>
    </xf>
    <xf numFmtId="0" fontId="41" fillId="82" borderId="60" xfId="0" applyFont="1" applyFill="1" applyBorder="1"/>
    <xf numFmtId="0" fontId="41" fillId="82" borderId="61" xfId="0" applyFont="1" applyFill="1" applyBorder="1"/>
    <xf numFmtId="0" fontId="54" fillId="82" borderId="59" xfId="0" applyFont="1" applyFill="1" applyBorder="1"/>
    <xf numFmtId="0" fontId="54" fillId="82" borderId="61" xfId="0" applyFont="1" applyFill="1" applyBorder="1"/>
    <xf numFmtId="4" fontId="41" fillId="82" borderId="60" xfId="0" applyNumberFormat="1" applyFont="1" applyFill="1" applyBorder="1"/>
    <xf numFmtId="4" fontId="54" fillId="82" borderId="61" xfId="0" applyNumberFormat="1" applyFont="1" applyFill="1" applyBorder="1"/>
    <xf numFmtId="0" fontId="41" fillId="82" borderId="60" xfId="0" applyNumberFormat="1" applyFont="1" applyFill="1" applyBorder="1"/>
    <xf numFmtId="0" fontId="41" fillId="82" borderId="61" xfId="0" applyNumberFormat="1" applyFont="1" applyFill="1" applyBorder="1"/>
    <xf numFmtId="0" fontId="41" fillId="82" borderId="51" xfId="0" applyNumberFormat="1" applyFont="1" applyFill="1" applyBorder="1" applyAlignment="1">
      <alignment horizontal="center"/>
    </xf>
    <xf numFmtId="4" fontId="41" fillId="82" borderId="52" xfId="0" applyNumberFormat="1" applyFont="1" applyFill="1" applyBorder="1"/>
    <xf numFmtId="0" fontId="41" fillId="82" borderId="52" xfId="0" applyNumberFormat="1" applyFont="1" applyFill="1" applyBorder="1"/>
    <xf numFmtId="0" fontId="41" fillId="82" borderId="59" xfId="0" applyNumberFormat="1" applyFont="1" applyFill="1" applyBorder="1" applyAlignment="1">
      <alignment horizontal="center"/>
    </xf>
    <xf numFmtId="4" fontId="41" fillId="82" borderId="59" xfId="0" applyNumberFormat="1" applyFont="1" applyFill="1" applyBorder="1"/>
    <xf numFmtId="0" fontId="41" fillId="82" borderId="59" xfId="0" applyNumberFormat="1" applyFont="1" applyFill="1" applyBorder="1"/>
    <xf numFmtId="4" fontId="54" fillId="82" borderId="52" xfId="0" applyNumberFormat="1" applyFont="1" applyFill="1" applyBorder="1"/>
    <xf numFmtId="0" fontId="42" fillId="84" borderId="50" xfId="0" applyFont="1" applyFill="1" applyBorder="1"/>
    <xf numFmtId="0" fontId="42" fillId="84" borderId="50" xfId="0" applyFont="1" applyFill="1" applyBorder="1" applyAlignment="1">
      <alignment horizontal="center"/>
    </xf>
    <xf numFmtId="0" fontId="42" fillId="84" borderId="51" xfId="0" applyFont="1" applyFill="1" applyBorder="1"/>
    <xf numFmtId="0" fontId="42" fillId="84" borderId="52" xfId="0" applyFont="1" applyFill="1" applyBorder="1"/>
    <xf numFmtId="0" fontId="42" fillId="84" borderId="53" xfId="0" applyFont="1" applyFill="1" applyBorder="1"/>
    <xf numFmtId="0" fontId="42" fillId="84" borderId="54" xfId="0" applyFont="1" applyFill="1" applyBorder="1"/>
    <xf numFmtId="0" fontId="42" fillId="84" borderId="55" xfId="0" applyFont="1" applyFill="1" applyBorder="1"/>
    <xf numFmtId="0" fontId="42" fillId="84" borderId="56" xfId="0" applyFont="1" applyFill="1" applyBorder="1"/>
    <xf numFmtId="0" fontId="42" fillId="84" borderId="42" xfId="0" applyNumberFormat="1" applyFont="1" applyFill="1" applyBorder="1"/>
    <xf numFmtId="0" fontId="42" fillId="84" borderId="42" xfId="0" applyNumberFormat="1" applyFont="1" applyFill="1" applyBorder="1" applyAlignment="1">
      <alignment horizontal="center"/>
    </xf>
    <xf numFmtId="0" fontId="54" fillId="84" borderId="52" xfId="0" applyFont="1" applyFill="1" applyBorder="1"/>
    <xf numFmtId="0" fontId="42" fillId="84" borderId="57" xfId="0" applyNumberFormat="1" applyFont="1" applyFill="1" applyBorder="1" applyAlignment="1">
      <alignment horizontal="center"/>
    </xf>
    <xf numFmtId="0" fontId="42" fillId="84" borderId="58" xfId="0" applyFont="1" applyFill="1" applyBorder="1"/>
    <xf numFmtId="0" fontId="42" fillId="84" borderId="54" xfId="0" applyNumberFormat="1" applyFont="1" applyFill="1" applyBorder="1" applyAlignment="1">
      <alignment horizontal="center"/>
    </xf>
    <xf numFmtId="0" fontId="54" fillId="84" borderId="55" xfId="0" applyFont="1" applyFill="1" applyBorder="1"/>
    <xf numFmtId="4" fontId="54" fillId="84" borderId="55" xfId="0" applyNumberFormat="1" applyFont="1" applyFill="1" applyBorder="1"/>
    <xf numFmtId="0" fontId="42" fillId="84" borderId="55" xfId="0" applyNumberFormat="1" applyFont="1" applyFill="1" applyBorder="1"/>
    <xf numFmtId="0" fontId="42" fillId="84" borderId="59" xfId="0" applyFont="1" applyFill="1" applyBorder="1"/>
    <xf numFmtId="0" fontId="42" fillId="84" borderId="60" xfId="0" applyNumberFormat="1" applyFont="1" applyFill="1" applyBorder="1" applyAlignment="1">
      <alignment horizontal="center"/>
    </xf>
    <xf numFmtId="0" fontId="42" fillId="84" borderId="61" xfId="0" applyNumberFormat="1" applyFont="1" applyFill="1" applyBorder="1" applyAlignment="1">
      <alignment horizontal="center"/>
    </xf>
    <xf numFmtId="0" fontId="42" fillId="84" borderId="60" xfId="0" applyFont="1" applyFill="1" applyBorder="1"/>
    <xf numFmtId="0" fontId="42" fillId="84" borderId="61" xfId="0" applyFont="1" applyFill="1" applyBorder="1"/>
    <xf numFmtId="0" fontId="54" fillId="84" borderId="59" xfId="0" applyFont="1" applyFill="1" applyBorder="1"/>
    <xf numFmtId="0" fontId="54" fillId="84" borderId="61" xfId="0" applyFont="1" applyFill="1" applyBorder="1"/>
    <xf numFmtId="4" fontId="42" fillId="84" borderId="60" xfId="0" applyNumberFormat="1" applyFont="1" applyFill="1" applyBorder="1"/>
    <xf numFmtId="4" fontId="54" fillId="84" borderId="61" xfId="0" applyNumberFormat="1" applyFont="1" applyFill="1" applyBorder="1"/>
    <xf numFmtId="0" fontId="42" fillId="84" borderId="60" xfId="0" applyNumberFormat="1" applyFont="1" applyFill="1" applyBorder="1"/>
    <xf numFmtId="0" fontId="42" fillId="84" borderId="61" xfId="0" applyNumberFormat="1" applyFont="1" applyFill="1" applyBorder="1"/>
    <xf numFmtId="0" fontId="42" fillId="84" borderId="51" xfId="0" applyNumberFormat="1" applyFont="1" applyFill="1" applyBorder="1" applyAlignment="1">
      <alignment horizontal="center"/>
    </xf>
    <xf numFmtId="4" fontId="42" fillId="84" borderId="52" xfId="0" applyNumberFormat="1" applyFont="1" applyFill="1" applyBorder="1"/>
    <xf numFmtId="0" fontId="42" fillId="84" borderId="52" xfId="0" applyNumberFormat="1" applyFont="1" applyFill="1" applyBorder="1"/>
    <xf numFmtId="0" fontId="42" fillId="84" borderId="59" xfId="0" applyNumberFormat="1" applyFont="1" applyFill="1" applyBorder="1" applyAlignment="1">
      <alignment horizontal="center"/>
    </xf>
    <xf numFmtId="4" fontId="42" fillId="84" borderId="59" xfId="0" applyNumberFormat="1" applyFont="1" applyFill="1" applyBorder="1"/>
    <xf numFmtId="0" fontId="42" fillId="84" borderId="59" xfId="0" applyNumberFormat="1" applyFont="1" applyFill="1" applyBorder="1"/>
    <xf numFmtId="4" fontId="54" fillId="84" borderId="52" xfId="0" applyNumberFormat="1" applyFont="1" applyFill="1" applyBorder="1"/>
    <xf numFmtId="0" fontId="43" fillId="86" borderId="50" xfId="0" applyFont="1" applyFill="1" applyBorder="1"/>
    <xf numFmtId="0" fontId="43" fillId="86" borderId="50" xfId="0" applyFont="1" applyFill="1" applyBorder="1" applyAlignment="1">
      <alignment horizontal="center"/>
    </xf>
    <xf numFmtId="0" fontId="43" fillId="86" borderId="51" xfId="0" applyFont="1" applyFill="1" applyBorder="1"/>
    <xf numFmtId="0" fontId="43" fillId="86" borderId="52" xfId="0" applyFont="1" applyFill="1" applyBorder="1"/>
    <xf numFmtId="0" fontId="43" fillId="86" borderId="53" xfId="0" applyFont="1" applyFill="1" applyBorder="1"/>
    <xf numFmtId="0" fontId="43" fillId="86" borderId="54" xfId="0" applyFont="1" applyFill="1" applyBorder="1"/>
    <xf numFmtId="0" fontId="43" fillId="86" borderId="55" xfId="0" applyFont="1" applyFill="1" applyBorder="1"/>
    <xf numFmtId="0" fontId="43" fillId="86" borderId="56" xfId="0" applyFont="1" applyFill="1" applyBorder="1"/>
    <xf numFmtId="0" fontId="43" fillId="86" borderId="43" xfId="0" applyNumberFormat="1" applyFont="1" applyFill="1" applyBorder="1"/>
    <xf numFmtId="0" fontId="43" fillId="86" borderId="43" xfId="0" applyNumberFormat="1" applyFont="1" applyFill="1" applyBorder="1" applyAlignment="1">
      <alignment horizontal="center"/>
    </xf>
    <xf numFmtId="0" fontId="54" fillId="86" borderId="52" xfId="0" applyFont="1" applyFill="1" applyBorder="1"/>
    <xf numFmtId="0" fontId="43" fillId="86" borderId="57" xfId="0" applyNumberFormat="1" applyFont="1" applyFill="1" applyBorder="1" applyAlignment="1">
      <alignment horizontal="center"/>
    </xf>
    <xf numFmtId="0" fontId="43" fillId="86" borderId="58" xfId="0" applyFont="1" applyFill="1" applyBorder="1"/>
    <xf numFmtId="0" fontId="43" fillId="86" borderId="54" xfId="0" applyNumberFormat="1" applyFont="1" applyFill="1" applyBorder="1" applyAlignment="1">
      <alignment horizontal="center"/>
    </xf>
    <xf numFmtId="0" fontId="54" fillId="86" borderId="55" xfId="0" applyFont="1" applyFill="1" applyBorder="1"/>
    <xf numFmtId="4" fontId="54" fillId="86" borderId="55" xfId="0" applyNumberFormat="1" applyFont="1" applyFill="1" applyBorder="1"/>
    <xf numFmtId="0" fontId="43" fillId="86" borderId="55" xfId="0" applyNumberFormat="1" applyFont="1" applyFill="1" applyBorder="1"/>
    <xf numFmtId="0" fontId="43" fillId="86" borderId="59" xfId="0" applyFont="1" applyFill="1" applyBorder="1"/>
    <xf numFmtId="0" fontId="43" fillId="86" borderId="60" xfId="0" applyNumberFormat="1" applyFont="1" applyFill="1" applyBorder="1" applyAlignment="1">
      <alignment horizontal="center"/>
    </xf>
    <xf numFmtId="0" fontId="43" fillId="86" borderId="61" xfId="0" applyNumberFormat="1" applyFont="1" applyFill="1" applyBorder="1" applyAlignment="1">
      <alignment horizontal="center"/>
    </xf>
    <xf numFmtId="0" fontId="43" fillId="86" borderId="60" xfId="0" applyFont="1" applyFill="1" applyBorder="1"/>
    <xf numFmtId="0" fontId="43" fillId="86" borderId="61" xfId="0" applyFont="1" applyFill="1" applyBorder="1"/>
    <xf numFmtId="0" fontId="54" fillId="86" borderId="59" xfId="0" applyFont="1" applyFill="1" applyBorder="1"/>
    <xf numFmtId="0" fontId="54" fillId="86" borderId="61" xfId="0" applyFont="1" applyFill="1" applyBorder="1"/>
    <xf numFmtId="4" fontId="43" fillId="86" borderId="60" xfId="0" applyNumberFormat="1" applyFont="1" applyFill="1" applyBorder="1"/>
    <xf numFmtId="4" fontId="54" fillId="86" borderId="61" xfId="0" applyNumberFormat="1" applyFont="1" applyFill="1" applyBorder="1"/>
    <xf numFmtId="0" fontId="43" fillId="86" borderId="60" xfId="0" applyNumberFormat="1" applyFont="1" applyFill="1" applyBorder="1"/>
    <xf numFmtId="0" fontId="43" fillId="86" borderId="61" xfId="0" applyNumberFormat="1" applyFont="1" applyFill="1" applyBorder="1"/>
    <xf numFmtId="0" fontId="43" fillId="86" borderId="51" xfId="0" applyNumberFormat="1" applyFont="1" applyFill="1" applyBorder="1" applyAlignment="1">
      <alignment horizontal="center"/>
    </xf>
    <xf numFmtId="4" fontId="43" fillId="86" borderId="52" xfId="0" applyNumberFormat="1" applyFont="1" applyFill="1" applyBorder="1"/>
    <xf numFmtId="0" fontId="43" fillId="86" borderId="52" xfId="0" applyNumberFormat="1" applyFont="1" applyFill="1" applyBorder="1"/>
    <xf numFmtId="0" fontId="43" fillId="86" borderId="59" xfId="0" applyNumberFormat="1" applyFont="1" applyFill="1" applyBorder="1" applyAlignment="1">
      <alignment horizontal="center"/>
    </xf>
    <xf numFmtId="4" fontId="43" fillId="86" borderId="59" xfId="0" applyNumberFormat="1" applyFont="1" applyFill="1" applyBorder="1"/>
    <xf numFmtId="0" fontId="43" fillId="86" borderId="59" xfId="0" applyNumberFormat="1" applyFont="1" applyFill="1" applyBorder="1"/>
    <xf numFmtId="4" fontId="54" fillId="86" borderId="52" xfId="0" applyNumberFormat="1" applyFont="1" applyFill="1" applyBorder="1"/>
    <xf numFmtId="0" fontId="44" fillId="88" borderId="50" xfId="0" applyFont="1" applyFill="1" applyBorder="1"/>
    <xf numFmtId="0" fontId="44" fillId="88" borderId="50" xfId="0" applyFont="1" applyFill="1" applyBorder="1" applyAlignment="1">
      <alignment horizontal="center"/>
    </xf>
    <xf numFmtId="0" fontId="44" fillId="88" borderId="51" xfId="0" applyFont="1" applyFill="1" applyBorder="1"/>
    <xf numFmtId="0" fontId="44" fillId="88" borderId="52" xfId="0" applyFont="1" applyFill="1" applyBorder="1"/>
    <xf numFmtId="0" fontId="44" fillId="88" borderId="53" xfId="0" applyFont="1" applyFill="1" applyBorder="1"/>
    <xf numFmtId="0" fontId="44" fillId="88" borderId="54" xfId="0" applyFont="1" applyFill="1" applyBorder="1"/>
    <xf numFmtId="0" fontId="44" fillId="88" borderId="55" xfId="0" applyFont="1" applyFill="1" applyBorder="1"/>
    <xf numFmtId="0" fontId="44" fillId="88" borderId="56" xfId="0" applyFont="1" applyFill="1" applyBorder="1"/>
    <xf numFmtId="0" fontId="44" fillId="88" borderId="44" xfId="0" applyNumberFormat="1" applyFont="1" applyFill="1" applyBorder="1"/>
    <xf numFmtId="0" fontId="44" fillId="88" borderId="44" xfId="0" applyNumberFormat="1" applyFont="1" applyFill="1" applyBorder="1" applyAlignment="1">
      <alignment horizontal="center"/>
    </xf>
    <xf numFmtId="0" fontId="54" fillId="88" borderId="52" xfId="0" applyFont="1" applyFill="1" applyBorder="1"/>
    <xf numFmtId="0" fontId="44" fillId="88" borderId="57" xfId="0" applyNumberFormat="1" applyFont="1" applyFill="1" applyBorder="1" applyAlignment="1">
      <alignment horizontal="center"/>
    </xf>
    <xf numFmtId="0" fontId="44" fillId="88" borderId="58" xfId="0" applyFont="1" applyFill="1" applyBorder="1"/>
    <xf numFmtId="0" fontId="44" fillId="88" borderId="54" xfId="0" applyNumberFormat="1" applyFont="1" applyFill="1" applyBorder="1" applyAlignment="1">
      <alignment horizontal="center"/>
    </xf>
    <xf numFmtId="0" fontId="54" fillId="88" borderId="55" xfId="0" applyFont="1" applyFill="1" applyBorder="1"/>
    <xf numFmtId="4" fontId="54" fillId="88" borderId="55" xfId="0" applyNumberFormat="1" applyFont="1" applyFill="1" applyBorder="1"/>
    <xf numFmtId="0" fontId="44" fillId="88" borderId="55" xfId="0" applyNumberFormat="1" applyFont="1" applyFill="1" applyBorder="1"/>
    <xf numFmtId="0" fontId="44" fillId="88" borderId="59" xfId="0" applyFont="1" applyFill="1" applyBorder="1"/>
    <xf numFmtId="0" fontId="44" fillId="88" borderId="60" xfId="0" applyNumberFormat="1" applyFont="1" applyFill="1" applyBorder="1" applyAlignment="1">
      <alignment horizontal="center"/>
    </xf>
    <xf numFmtId="0" fontId="44" fillId="88" borderId="61" xfId="0" applyNumberFormat="1" applyFont="1" applyFill="1" applyBorder="1" applyAlignment="1">
      <alignment horizontal="center"/>
    </xf>
    <xf numFmtId="0" fontId="44" fillId="88" borderId="60" xfId="0" applyFont="1" applyFill="1" applyBorder="1"/>
    <xf numFmtId="0" fontId="44" fillId="88" borderId="61" xfId="0" applyFont="1" applyFill="1" applyBorder="1"/>
    <xf numFmtId="0" fontId="54" fillId="88" borderId="59" xfId="0" applyFont="1" applyFill="1" applyBorder="1"/>
    <xf numFmtId="0" fontId="54" fillId="88" borderId="61" xfId="0" applyFont="1" applyFill="1" applyBorder="1"/>
    <xf numFmtId="4" fontId="44" fillId="88" borderId="60" xfId="0" applyNumberFormat="1" applyFont="1" applyFill="1" applyBorder="1"/>
    <xf numFmtId="4" fontId="54" fillId="88" borderId="61" xfId="0" applyNumberFormat="1" applyFont="1" applyFill="1" applyBorder="1"/>
    <xf numFmtId="0" fontId="44" fillId="88" borderId="60" xfId="0" applyNumberFormat="1" applyFont="1" applyFill="1" applyBorder="1"/>
    <xf numFmtId="0" fontId="44" fillId="88" borderId="61" xfId="0" applyNumberFormat="1" applyFont="1" applyFill="1" applyBorder="1"/>
    <xf numFmtId="0" fontId="44" fillId="88" borderId="51" xfId="0" applyNumberFormat="1" applyFont="1" applyFill="1" applyBorder="1" applyAlignment="1">
      <alignment horizontal="center"/>
    </xf>
    <xf numFmtId="4" fontId="44" fillId="88" borderId="52" xfId="0" applyNumberFormat="1" applyFont="1" applyFill="1" applyBorder="1"/>
    <xf numFmtId="0" fontId="44" fillId="88" borderId="52" xfId="0" applyNumberFormat="1" applyFont="1" applyFill="1" applyBorder="1"/>
    <xf numFmtId="0" fontId="44" fillId="88" borderId="59" xfId="0" applyNumberFormat="1" applyFont="1" applyFill="1" applyBorder="1" applyAlignment="1">
      <alignment horizontal="center"/>
    </xf>
    <xf numFmtId="4" fontId="44" fillId="88" borderId="59" xfId="0" applyNumberFormat="1" applyFont="1" applyFill="1" applyBorder="1"/>
    <xf numFmtId="0" fontId="44" fillId="88" borderId="59" xfId="0" applyNumberFormat="1" applyFont="1" applyFill="1" applyBorder="1"/>
    <xf numFmtId="4" fontId="54" fillId="88" borderId="52" xfId="0" applyNumberFormat="1" applyFont="1" applyFill="1" applyBorder="1"/>
    <xf numFmtId="0" fontId="45" fillId="90" borderId="50" xfId="0" applyFont="1" applyFill="1" applyBorder="1"/>
    <xf numFmtId="0" fontId="45" fillId="90" borderId="50" xfId="0" applyFont="1" applyFill="1" applyBorder="1" applyAlignment="1">
      <alignment horizontal="center"/>
    </xf>
    <xf numFmtId="0" fontId="45" fillId="90" borderId="51" xfId="0" applyFont="1" applyFill="1" applyBorder="1"/>
    <xf numFmtId="0" fontId="45" fillId="90" borderId="52" xfId="0" applyFont="1" applyFill="1" applyBorder="1"/>
    <xf numFmtId="0" fontId="45" fillId="90" borderId="53" xfId="0" applyFont="1" applyFill="1" applyBorder="1"/>
    <xf numFmtId="0" fontId="45" fillId="90" borderId="54" xfId="0" applyFont="1" applyFill="1" applyBorder="1"/>
    <xf numFmtId="0" fontId="45" fillId="90" borderId="55" xfId="0" applyFont="1" applyFill="1" applyBorder="1"/>
    <xf numFmtId="0" fontId="45" fillId="90" borderId="56" xfId="0" applyFont="1" applyFill="1" applyBorder="1"/>
    <xf numFmtId="0" fontId="45" fillId="90" borderId="45" xfId="0" applyNumberFormat="1" applyFont="1" applyFill="1" applyBorder="1"/>
    <xf numFmtId="0" fontId="45" fillId="90" borderId="45" xfId="0" applyNumberFormat="1" applyFont="1" applyFill="1" applyBorder="1" applyAlignment="1">
      <alignment horizontal="center"/>
    </xf>
    <xf numFmtId="0" fontId="54" fillId="90" borderId="52" xfId="0" applyFont="1" applyFill="1" applyBorder="1"/>
    <xf numFmtId="0" fontId="45" fillId="90" borderId="57" xfId="0" applyNumberFormat="1" applyFont="1" applyFill="1" applyBorder="1" applyAlignment="1">
      <alignment horizontal="center"/>
    </xf>
    <xf numFmtId="0" fontId="45" fillId="90" borderId="58" xfId="0" applyFont="1" applyFill="1" applyBorder="1"/>
    <xf numFmtId="0" fontId="45" fillId="90" borderId="54" xfId="0" applyNumberFormat="1" applyFont="1" applyFill="1" applyBorder="1" applyAlignment="1">
      <alignment horizontal="center"/>
    </xf>
    <xf numFmtId="0" fontId="54" fillId="90" borderId="55" xfId="0" applyFont="1" applyFill="1" applyBorder="1"/>
    <xf numFmtId="4" fontId="54" fillId="90" borderId="55" xfId="0" applyNumberFormat="1" applyFont="1" applyFill="1" applyBorder="1"/>
    <xf numFmtId="0" fontId="45" fillId="90" borderId="55" xfId="0" applyNumberFormat="1" applyFont="1" applyFill="1" applyBorder="1"/>
    <xf numFmtId="0" fontId="45" fillId="90" borderId="59" xfId="0" applyFont="1" applyFill="1" applyBorder="1"/>
    <xf numFmtId="0" fontId="45" fillId="90" borderId="60" xfId="0" applyNumberFormat="1" applyFont="1" applyFill="1" applyBorder="1" applyAlignment="1">
      <alignment horizontal="center"/>
    </xf>
    <xf numFmtId="0" fontId="45" fillId="90" borderId="61" xfId="0" applyNumberFormat="1" applyFont="1" applyFill="1" applyBorder="1" applyAlignment="1">
      <alignment horizontal="center"/>
    </xf>
    <xf numFmtId="0" fontId="45" fillId="90" borderId="60" xfId="0" applyFont="1" applyFill="1" applyBorder="1"/>
    <xf numFmtId="0" fontId="45" fillId="90" borderId="61" xfId="0" applyFont="1" applyFill="1" applyBorder="1"/>
    <xf numFmtId="0" fontId="54" fillId="90" borderId="59" xfId="0" applyFont="1" applyFill="1" applyBorder="1"/>
    <xf numFmtId="0" fontId="54" fillId="90" borderId="61" xfId="0" applyFont="1" applyFill="1" applyBorder="1"/>
    <xf numFmtId="4" fontId="45" fillId="90" borderId="60" xfId="0" applyNumberFormat="1" applyFont="1" applyFill="1" applyBorder="1"/>
    <xf numFmtId="4" fontId="54" fillId="90" borderId="61" xfId="0" applyNumberFormat="1" applyFont="1" applyFill="1" applyBorder="1"/>
    <xf numFmtId="0" fontId="45" fillId="90" borderId="60" xfId="0" applyNumberFormat="1" applyFont="1" applyFill="1" applyBorder="1"/>
    <xf numFmtId="0" fontId="45" fillId="90" borderId="61" xfId="0" applyNumberFormat="1" applyFont="1" applyFill="1" applyBorder="1"/>
    <xf numFmtId="0" fontId="45" fillId="90" borderId="51" xfId="0" applyNumberFormat="1" applyFont="1" applyFill="1" applyBorder="1" applyAlignment="1">
      <alignment horizontal="center"/>
    </xf>
    <xf numFmtId="4" fontId="45" fillId="90" borderId="52" xfId="0" applyNumberFormat="1" applyFont="1" applyFill="1" applyBorder="1"/>
    <xf numFmtId="0" fontId="45" fillId="90" borderId="52" xfId="0" applyNumberFormat="1" applyFont="1" applyFill="1" applyBorder="1"/>
    <xf numFmtId="0" fontId="45" fillId="90" borderId="59" xfId="0" applyNumberFormat="1" applyFont="1" applyFill="1" applyBorder="1" applyAlignment="1">
      <alignment horizontal="center"/>
    </xf>
    <xf numFmtId="4" fontId="45" fillId="90" borderId="59" xfId="0" applyNumberFormat="1" applyFont="1" applyFill="1" applyBorder="1"/>
    <xf numFmtId="0" fontId="45" fillId="90" borderId="59" xfId="0" applyNumberFormat="1" applyFont="1" applyFill="1" applyBorder="1"/>
    <xf numFmtId="4" fontId="54" fillId="90" borderId="52" xfId="0" applyNumberFormat="1" applyFont="1" applyFill="1" applyBorder="1"/>
    <xf numFmtId="0" fontId="46" fillId="92" borderId="50" xfId="0" applyFont="1" applyFill="1" applyBorder="1"/>
    <xf numFmtId="0" fontId="46" fillId="92" borderId="50" xfId="0" applyFont="1" applyFill="1" applyBorder="1" applyAlignment="1">
      <alignment horizontal="center"/>
    </xf>
    <xf numFmtId="0" fontId="46" fillId="92" borderId="51" xfId="0" applyFont="1" applyFill="1" applyBorder="1"/>
    <xf numFmtId="0" fontId="46" fillId="92" borderId="52" xfId="0" applyFont="1" applyFill="1" applyBorder="1"/>
    <xf numFmtId="0" fontId="46" fillId="92" borderId="53" xfId="0" applyFont="1" applyFill="1" applyBorder="1"/>
    <xf numFmtId="0" fontId="46" fillId="92" borderId="54" xfId="0" applyFont="1" applyFill="1" applyBorder="1"/>
    <xf numFmtId="0" fontId="46" fillId="92" borderId="55" xfId="0" applyFont="1" applyFill="1" applyBorder="1"/>
    <xf numFmtId="0" fontId="46" fillId="92" borderId="56" xfId="0" applyFont="1" applyFill="1" applyBorder="1"/>
    <xf numFmtId="0" fontId="46" fillId="92" borderId="46" xfId="0" applyNumberFormat="1" applyFont="1" applyFill="1" applyBorder="1"/>
    <xf numFmtId="0" fontId="46" fillId="92" borderId="46" xfId="0" applyNumberFormat="1" applyFont="1" applyFill="1" applyBorder="1" applyAlignment="1">
      <alignment horizontal="center"/>
    </xf>
    <xf numFmtId="0" fontId="54" fillId="92" borderId="52" xfId="0" applyFont="1" applyFill="1" applyBorder="1"/>
    <xf numFmtId="0" fontId="46" fillId="92" borderId="57" xfId="0" applyNumberFormat="1" applyFont="1" applyFill="1" applyBorder="1" applyAlignment="1">
      <alignment horizontal="center"/>
    </xf>
    <xf numFmtId="0" fontId="46" fillId="92" borderId="58" xfId="0" applyFont="1" applyFill="1" applyBorder="1"/>
    <xf numFmtId="0" fontId="46" fillId="92" borderId="54" xfId="0" applyNumberFormat="1" applyFont="1" applyFill="1" applyBorder="1" applyAlignment="1">
      <alignment horizontal="center"/>
    </xf>
    <xf numFmtId="0" fontId="54" fillId="92" borderId="55" xfId="0" applyFont="1" applyFill="1" applyBorder="1"/>
    <xf numFmtId="4" fontId="54" fillId="92" borderId="55" xfId="0" applyNumberFormat="1" applyFont="1" applyFill="1" applyBorder="1"/>
    <xf numFmtId="0" fontId="46" fillId="92" borderId="55" xfId="0" applyNumberFormat="1" applyFont="1" applyFill="1" applyBorder="1"/>
    <xf numFmtId="0" fontId="46" fillId="92" borderId="59" xfId="0" applyFont="1" applyFill="1" applyBorder="1"/>
    <xf numFmtId="0" fontId="46" fillId="92" borderId="60" xfId="0" applyNumberFormat="1" applyFont="1" applyFill="1" applyBorder="1" applyAlignment="1">
      <alignment horizontal="center"/>
    </xf>
    <xf numFmtId="0" fontId="46" fillId="92" borderId="61" xfId="0" applyNumberFormat="1" applyFont="1" applyFill="1" applyBorder="1" applyAlignment="1">
      <alignment horizontal="center"/>
    </xf>
    <xf numFmtId="0" fontId="46" fillId="92" borderId="60" xfId="0" applyFont="1" applyFill="1" applyBorder="1"/>
    <xf numFmtId="0" fontId="46" fillId="92" borderId="61" xfId="0" applyFont="1" applyFill="1" applyBorder="1"/>
    <xf numFmtId="0" fontId="54" fillId="92" borderId="59" xfId="0" applyFont="1" applyFill="1" applyBorder="1"/>
    <xf numFmtId="0" fontId="54" fillId="92" borderId="61" xfId="0" applyFont="1" applyFill="1" applyBorder="1"/>
    <xf numFmtId="4" fontId="46" fillId="92" borderId="60" xfId="0" applyNumberFormat="1" applyFont="1" applyFill="1" applyBorder="1"/>
    <xf numFmtId="4" fontId="54" fillId="92" borderId="61" xfId="0" applyNumberFormat="1" applyFont="1" applyFill="1" applyBorder="1"/>
    <xf numFmtId="0" fontId="46" fillId="92" borderId="60" xfId="0" applyNumberFormat="1" applyFont="1" applyFill="1" applyBorder="1"/>
    <xf numFmtId="0" fontId="46" fillId="92" borderId="61" xfId="0" applyNumberFormat="1" applyFont="1" applyFill="1" applyBorder="1"/>
    <xf numFmtId="0" fontId="46" fillId="92" borderId="51" xfId="0" applyNumberFormat="1" applyFont="1" applyFill="1" applyBorder="1" applyAlignment="1">
      <alignment horizontal="center"/>
    </xf>
    <xf numFmtId="4" fontId="46" fillId="92" borderId="52" xfId="0" applyNumberFormat="1" applyFont="1" applyFill="1" applyBorder="1"/>
    <xf numFmtId="0" fontId="46" fillId="92" borderId="52" xfId="0" applyNumberFormat="1" applyFont="1" applyFill="1" applyBorder="1"/>
    <xf numFmtId="0" fontId="46" fillId="92" borderId="59" xfId="0" applyNumberFormat="1" applyFont="1" applyFill="1" applyBorder="1" applyAlignment="1">
      <alignment horizontal="center"/>
    </xf>
    <xf numFmtId="4" fontId="46" fillId="92" borderId="59" xfId="0" applyNumberFormat="1" applyFont="1" applyFill="1" applyBorder="1"/>
    <xf numFmtId="0" fontId="46" fillId="92" borderId="59" xfId="0" applyNumberFormat="1" applyFont="1" applyFill="1" applyBorder="1"/>
    <xf numFmtId="4" fontId="54" fillId="92" borderId="52" xfId="0" applyNumberFormat="1" applyFont="1" applyFill="1" applyBorder="1"/>
    <xf numFmtId="0" fontId="47" fillId="94" borderId="50" xfId="0" applyFont="1" applyFill="1" applyBorder="1"/>
    <xf numFmtId="0" fontId="47" fillId="94" borderId="50" xfId="0" applyFont="1" applyFill="1" applyBorder="1" applyAlignment="1">
      <alignment horizontal="center"/>
    </xf>
    <xf numFmtId="0" fontId="47" fillId="94" borderId="51" xfId="0" applyFont="1" applyFill="1" applyBorder="1"/>
    <xf numFmtId="0" fontId="47" fillId="94" borderId="52" xfId="0" applyFont="1" applyFill="1" applyBorder="1"/>
    <xf numFmtId="0" fontId="47" fillId="94" borderId="53" xfId="0" applyFont="1" applyFill="1" applyBorder="1"/>
    <xf numFmtId="0" fontId="47" fillId="94" borderId="54" xfId="0" applyFont="1" applyFill="1" applyBorder="1"/>
    <xf numFmtId="0" fontId="47" fillId="94" borderId="55" xfId="0" applyFont="1" applyFill="1" applyBorder="1"/>
    <xf numFmtId="0" fontId="47" fillId="94" borderId="56" xfId="0" applyFont="1" applyFill="1" applyBorder="1"/>
    <xf numFmtId="0" fontId="47" fillId="94" borderId="47" xfId="0" applyNumberFormat="1" applyFont="1" applyFill="1" applyBorder="1"/>
    <xf numFmtId="0" fontId="47" fillId="94" borderId="47" xfId="0" applyNumberFormat="1" applyFont="1" applyFill="1" applyBorder="1" applyAlignment="1">
      <alignment horizontal="center"/>
    </xf>
    <xf numFmtId="0" fontId="54" fillId="94" borderId="52" xfId="0" applyFont="1" applyFill="1" applyBorder="1"/>
    <xf numFmtId="0" fontId="47" fillId="94" borderId="57" xfId="0" applyNumberFormat="1" applyFont="1" applyFill="1" applyBorder="1" applyAlignment="1">
      <alignment horizontal="center"/>
    </xf>
    <xf numFmtId="0" fontId="47" fillId="94" borderId="58" xfId="0" applyFont="1" applyFill="1" applyBorder="1"/>
    <xf numFmtId="0" fontId="47" fillId="94" borderId="54" xfId="0" applyNumberFormat="1" applyFont="1" applyFill="1" applyBorder="1" applyAlignment="1">
      <alignment horizontal="center"/>
    </xf>
    <xf numFmtId="0" fontId="54" fillId="94" borderId="55" xfId="0" applyFont="1" applyFill="1" applyBorder="1"/>
    <xf numFmtId="4" fontId="54" fillId="94" borderId="55" xfId="0" applyNumberFormat="1" applyFont="1" applyFill="1" applyBorder="1"/>
    <xf numFmtId="0" fontId="47" fillId="94" borderId="55" xfId="0" applyNumberFormat="1" applyFont="1" applyFill="1" applyBorder="1"/>
    <xf numFmtId="0" fontId="47" fillId="94" borderId="59" xfId="0" applyFont="1" applyFill="1" applyBorder="1"/>
    <xf numFmtId="0" fontId="47" fillId="94" borderId="60" xfId="0" applyNumberFormat="1" applyFont="1" applyFill="1" applyBorder="1" applyAlignment="1">
      <alignment horizontal="center"/>
    </xf>
    <xf numFmtId="0" fontId="47" fillId="94" borderId="61" xfId="0" applyNumberFormat="1" applyFont="1" applyFill="1" applyBorder="1" applyAlignment="1">
      <alignment horizontal="center"/>
    </xf>
    <xf numFmtId="0" fontId="47" fillId="94" borderId="60" xfId="0" applyFont="1" applyFill="1" applyBorder="1"/>
    <xf numFmtId="0" fontId="47" fillId="94" borderId="61" xfId="0" applyFont="1" applyFill="1" applyBorder="1"/>
    <xf numFmtId="0" fontId="54" fillId="94" borderId="59" xfId="0" applyFont="1" applyFill="1" applyBorder="1"/>
    <xf numFmtId="0" fontId="54" fillId="94" borderId="61" xfId="0" applyFont="1" applyFill="1" applyBorder="1"/>
    <xf numFmtId="4" fontId="47" fillId="94" borderId="60" xfId="0" applyNumberFormat="1" applyFont="1" applyFill="1" applyBorder="1"/>
    <xf numFmtId="4" fontId="54" fillId="94" borderId="61" xfId="0" applyNumberFormat="1" applyFont="1" applyFill="1" applyBorder="1"/>
    <xf numFmtId="0" fontId="47" fillId="94" borderId="60" xfId="0" applyNumberFormat="1" applyFont="1" applyFill="1" applyBorder="1"/>
    <xf numFmtId="0" fontId="47" fillId="94" borderId="61" xfId="0" applyNumberFormat="1" applyFont="1" applyFill="1" applyBorder="1"/>
    <xf numFmtId="0" fontId="47" fillId="94" borderId="51" xfId="0" applyNumberFormat="1" applyFont="1" applyFill="1" applyBorder="1" applyAlignment="1">
      <alignment horizontal="center"/>
    </xf>
    <xf numFmtId="4" fontId="47" fillId="94" borderId="52" xfId="0" applyNumberFormat="1" applyFont="1" applyFill="1" applyBorder="1"/>
    <xf numFmtId="0" fontId="47" fillId="94" borderId="52" xfId="0" applyNumberFormat="1" applyFont="1" applyFill="1" applyBorder="1"/>
    <xf numFmtId="0" fontId="47" fillId="94" borderId="59" xfId="0" applyNumberFormat="1" applyFont="1" applyFill="1" applyBorder="1" applyAlignment="1">
      <alignment horizontal="center"/>
    </xf>
    <xf numFmtId="4" fontId="47" fillId="94" borderId="59" xfId="0" applyNumberFormat="1" applyFont="1" applyFill="1" applyBorder="1"/>
    <xf numFmtId="0" fontId="47" fillId="94" borderId="59" xfId="0" applyNumberFormat="1" applyFont="1" applyFill="1" applyBorder="1"/>
    <xf numFmtId="4" fontId="54" fillId="94" borderId="52" xfId="0" applyNumberFormat="1" applyFont="1" applyFill="1" applyBorder="1"/>
    <xf numFmtId="0" fontId="49" fillId="98" borderId="50" xfId="0" applyFont="1" applyFill="1" applyBorder="1"/>
    <xf numFmtId="0" fontId="49" fillId="98" borderId="50" xfId="0" applyFont="1" applyFill="1" applyBorder="1" applyAlignment="1">
      <alignment horizontal="center"/>
    </xf>
    <xf numFmtId="0" fontId="49" fillId="98" borderId="51" xfId="0" applyFont="1" applyFill="1" applyBorder="1"/>
    <xf numFmtId="0" fontId="49" fillId="98" borderId="52" xfId="0" applyFont="1" applyFill="1" applyBorder="1"/>
    <xf numFmtId="0" fontId="49" fillId="98" borderId="53" xfId="0" applyFont="1" applyFill="1" applyBorder="1"/>
    <xf numFmtId="0" fontId="49" fillId="98" borderId="54" xfId="0" applyFont="1" applyFill="1" applyBorder="1"/>
    <xf numFmtId="0" fontId="49" fillId="98" borderId="55" xfId="0" applyFont="1" applyFill="1" applyBorder="1"/>
    <xf numFmtId="0" fontId="49" fillId="98" borderId="56" xfId="0" applyFont="1" applyFill="1" applyBorder="1"/>
    <xf numFmtId="0" fontId="49" fillId="98" borderId="49" xfId="0" applyNumberFormat="1" applyFont="1" applyFill="1" applyBorder="1"/>
    <xf numFmtId="0" fontId="49" fillId="98" borderId="49" xfId="0" applyNumberFormat="1" applyFont="1" applyFill="1" applyBorder="1" applyAlignment="1">
      <alignment horizontal="center"/>
    </xf>
    <xf numFmtId="0" fontId="54" fillId="98" borderId="52" xfId="0" applyFont="1" applyFill="1" applyBorder="1"/>
    <xf numFmtId="0" fontId="49" fillId="98" borderId="57" xfId="0" applyNumberFormat="1" applyFont="1" applyFill="1" applyBorder="1" applyAlignment="1">
      <alignment horizontal="center"/>
    </xf>
    <xf numFmtId="0" fontId="49" fillId="98" borderId="58" xfId="0" applyFont="1" applyFill="1" applyBorder="1"/>
    <xf numFmtId="0" fontId="49" fillId="98" borderId="54" xfId="0" applyNumberFormat="1" applyFont="1" applyFill="1" applyBorder="1" applyAlignment="1">
      <alignment horizontal="center"/>
    </xf>
    <xf numFmtId="0" fontId="54" fillId="98" borderId="55" xfId="0" applyFont="1" applyFill="1" applyBorder="1"/>
    <xf numFmtId="4" fontId="54" fillId="98" borderId="55" xfId="0" applyNumberFormat="1" applyFont="1" applyFill="1" applyBorder="1"/>
    <xf numFmtId="0" fontId="49" fillId="98" borderId="55" xfId="0" applyNumberFormat="1" applyFont="1" applyFill="1" applyBorder="1"/>
    <xf numFmtId="0" fontId="49" fillId="98" borderId="59" xfId="0" applyFont="1" applyFill="1" applyBorder="1"/>
    <xf numFmtId="0" fontId="49" fillId="98" borderId="60" xfId="0" applyNumberFormat="1" applyFont="1" applyFill="1" applyBorder="1" applyAlignment="1">
      <alignment horizontal="center"/>
    </xf>
    <xf numFmtId="0" fontId="49" fillId="98" borderId="61" xfId="0" applyNumberFormat="1" applyFont="1" applyFill="1" applyBorder="1" applyAlignment="1">
      <alignment horizontal="center"/>
    </xf>
    <xf numFmtId="0" fontId="49" fillId="98" borderId="60" xfId="0" applyFont="1" applyFill="1" applyBorder="1"/>
    <xf numFmtId="0" fontId="49" fillId="98" borderId="61" xfId="0" applyFont="1" applyFill="1" applyBorder="1"/>
    <xf numFmtId="0" fontId="54" fillId="98" borderId="59" xfId="0" applyFont="1" applyFill="1" applyBorder="1"/>
    <xf numFmtId="0" fontId="54" fillId="98" borderId="61" xfId="0" applyFont="1" applyFill="1" applyBorder="1"/>
    <xf numFmtId="4" fontId="49" fillId="98" borderId="60" xfId="0" applyNumberFormat="1" applyFont="1" applyFill="1" applyBorder="1"/>
    <xf numFmtId="4" fontId="54" fillId="98" borderId="61" xfId="0" applyNumberFormat="1" applyFont="1" applyFill="1" applyBorder="1"/>
    <xf numFmtId="0" fontId="49" fillId="98" borderId="60" xfId="0" applyNumberFormat="1" applyFont="1" applyFill="1" applyBorder="1"/>
    <xf numFmtId="0" fontId="49" fillId="98" borderId="61" xfId="0" applyNumberFormat="1" applyFont="1" applyFill="1" applyBorder="1"/>
    <xf numFmtId="0" fontId="49" fillId="98" borderId="51" xfId="0" applyNumberFormat="1" applyFont="1" applyFill="1" applyBorder="1" applyAlignment="1">
      <alignment horizontal="center"/>
    </xf>
    <xf numFmtId="4" fontId="49" fillId="98" borderId="52" xfId="0" applyNumberFormat="1" applyFont="1" applyFill="1" applyBorder="1"/>
    <xf numFmtId="0" fontId="49" fillId="98" borderId="52" xfId="0" applyNumberFormat="1" applyFont="1" applyFill="1" applyBorder="1"/>
    <xf numFmtId="0" fontId="49" fillId="98" borderId="59" xfId="0" applyNumberFormat="1" applyFont="1" applyFill="1" applyBorder="1" applyAlignment="1">
      <alignment horizontal="center"/>
    </xf>
    <xf numFmtId="4" fontId="49" fillId="98" borderId="59" xfId="0" applyNumberFormat="1" applyFont="1" applyFill="1" applyBorder="1"/>
    <xf numFmtId="0" fontId="49" fillId="98" borderId="59" xfId="0" applyNumberFormat="1" applyFont="1" applyFill="1" applyBorder="1"/>
    <xf numFmtId="4" fontId="54" fillId="98" borderId="52" xfId="0" applyNumberFormat="1" applyFont="1" applyFill="1" applyBorder="1"/>
    <xf numFmtId="4" fontId="1" fillId="0" borderId="60" xfId="0" applyNumberFormat="1" applyFont="1" applyFill="1" applyBorder="1"/>
    <xf numFmtId="0" fontId="1" fillId="0" borderId="1" xfId="0" applyFont="1" applyFill="1" applyBorder="1"/>
    <xf numFmtId="0" fontId="1" fillId="0" borderId="52" xfId="0" applyFont="1" applyFill="1" applyBorder="1"/>
    <xf numFmtId="4" fontId="54" fillId="0" borderId="55" xfId="0" applyNumberFormat="1" applyFont="1" applyFill="1" applyBorder="1"/>
    <xf numFmtId="0" fontId="1" fillId="0" borderId="50" xfId="0" applyFont="1" applyFill="1" applyBorder="1"/>
    <xf numFmtId="0" fontId="1" fillId="0" borderId="59" xfId="0" applyFont="1" applyFill="1" applyBorder="1"/>
    <xf numFmtId="4" fontId="54" fillId="0" borderId="61" xfId="0" applyNumberFormat="1" applyFont="1" applyFill="1" applyBorder="1"/>
    <xf numFmtId="4" fontId="1" fillId="0" borderId="1" xfId="0" applyNumberFormat="1" applyFont="1" applyFill="1" applyBorder="1"/>
    <xf numFmtId="4" fontId="1" fillId="0" borderId="59" xfId="0" applyNumberFormat="1" applyFont="1" applyFill="1" applyBorder="1"/>
    <xf numFmtId="4" fontId="1" fillId="0" borderId="52" xfId="0" applyNumberFormat="1" applyFont="1" applyFill="1" applyBorder="1"/>
    <xf numFmtId="4" fontId="54" fillId="0" borderId="52" xfId="0" applyNumberFormat="1" applyFont="1" applyFill="1" applyBorder="1"/>
    <xf numFmtId="0" fontId="0" fillId="0" borderId="55" xfId="0" applyFill="1" applyBorder="1"/>
    <xf numFmtId="0" fontId="0" fillId="0" borderId="0" xfId="0" applyFill="1"/>
    <xf numFmtId="0" fontId="1" fillId="0" borderId="60" xfId="0" applyFont="1" applyFill="1" applyBorder="1"/>
    <xf numFmtId="4" fontId="42" fillId="0" borderId="60" xfId="0" applyNumberFormat="1" applyFont="1" applyFill="1" applyBorder="1"/>
    <xf numFmtId="0" fontId="1" fillId="99" borderId="49" xfId="0" applyFont="1" applyFill="1" applyBorder="1"/>
    <xf numFmtId="0" fontId="1" fillId="98" borderId="49" xfId="0" applyFont="1" applyFill="1" applyBorder="1"/>
    <xf numFmtId="0" fontId="1" fillId="98" borderId="50" xfId="0" applyFont="1" applyFill="1" applyBorder="1" applyAlignment="1">
      <alignment horizontal="center"/>
    </xf>
    <xf numFmtId="0" fontId="1" fillId="98" borderId="51" xfId="0" applyFont="1" applyFill="1" applyBorder="1"/>
    <xf numFmtId="0" fontId="1" fillId="98" borderId="52" xfId="0" applyFont="1" applyFill="1" applyBorder="1"/>
    <xf numFmtId="0" fontId="1" fillId="98" borderId="53" xfId="0" applyFont="1" applyFill="1" applyBorder="1"/>
    <xf numFmtId="0" fontId="1" fillId="98" borderId="54" xfId="0" applyFont="1" applyFill="1" applyBorder="1"/>
    <xf numFmtId="0" fontId="1" fillId="98" borderId="50" xfId="0" applyFont="1" applyFill="1" applyBorder="1"/>
    <xf numFmtId="0" fontId="1" fillId="98" borderId="55" xfId="0" applyFont="1" applyFill="1" applyBorder="1"/>
    <xf numFmtId="0" fontId="1" fillId="98" borderId="56" xfId="0" applyFont="1" applyFill="1" applyBorder="1"/>
    <xf numFmtId="0" fontId="1" fillId="98" borderId="59" xfId="0" applyFont="1" applyFill="1" applyBorder="1"/>
    <xf numFmtId="0" fontId="1" fillId="98" borderId="60" xfId="0" applyNumberFormat="1" applyFont="1" applyFill="1" applyBorder="1" applyAlignment="1">
      <alignment horizontal="center"/>
    </xf>
    <xf numFmtId="0" fontId="1" fillId="98" borderId="60" xfId="0" applyFont="1" applyFill="1" applyBorder="1"/>
    <xf numFmtId="4" fontId="1" fillId="98" borderId="60" xfId="0" applyNumberFormat="1" applyFont="1" applyFill="1" applyBorder="1"/>
    <xf numFmtId="0" fontId="1" fillId="98" borderId="60" xfId="0" applyNumberFormat="1" applyFont="1" applyFill="1" applyBorder="1"/>
    <xf numFmtId="0" fontId="1" fillId="98" borderId="58" xfId="0" applyFont="1" applyFill="1" applyBorder="1"/>
    <xf numFmtId="0" fontId="1" fillId="98" borderId="61" xfId="0" applyNumberFormat="1" applyFont="1" applyFill="1" applyBorder="1" applyAlignment="1">
      <alignment horizontal="center"/>
    </xf>
    <xf numFmtId="0" fontId="1" fillId="98" borderId="61" xfId="0" applyFont="1" applyFill="1" applyBorder="1"/>
    <xf numFmtId="0" fontId="1" fillId="98" borderId="61" xfId="0" applyNumberFormat="1" applyFont="1" applyFill="1" applyBorder="1"/>
    <xf numFmtId="0" fontId="1" fillId="98" borderId="49" xfId="0" applyNumberFormat="1" applyFont="1" applyFill="1" applyBorder="1" applyAlignment="1">
      <alignment horizontal="center"/>
    </xf>
    <xf numFmtId="4" fontId="1" fillId="98" borderId="49" xfId="0" applyNumberFormat="1" applyFont="1" applyFill="1" applyBorder="1"/>
    <xf numFmtId="0" fontId="1" fillId="98" borderId="49" xfId="0" applyNumberFormat="1" applyFont="1" applyFill="1" applyBorder="1"/>
    <xf numFmtId="0" fontId="1" fillId="98" borderId="59" xfId="0" applyNumberFormat="1" applyFont="1" applyFill="1" applyBorder="1" applyAlignment="1">
      <alignment horizontal="center"/>
    </xf>
    <xf numFmtId="4" fontId="1" fillId="98" borderId="59" xfId="0" applyNumberFormat="1" applyFont="1" applyFill="1" applyBorder="1"/>
    <xf numFmtId="0" fontId="1" fillId="98" borderId="59" xfId="0" applyNumberFormat="1" applyFont="1" applyFill="1" applyBorder="1"/>
    <xf numFmtId="0" fontId="1" fillId="98" borderId="51" xfId="0" applyNumberFormat="1" applyFont="1" applyFill="1" applyBorder="1" applyAlignment="1">
      <alignment horizontal="center"/>
    </xf>
    <xf numFmtId="4" fontId="1" fillId="98" borderId="52" xfId="0" applyNumberFormat="1" applyFont="1" applyFill="1" applyBorder="1"/>
    <xf numFmtId="0" fontId="1" fillId="98" borderId="52" xfId="0" applyNumberFormat="1" applyFont="1" applyFill="1" applyBorder="1"/>
    <xf numFmtId="0" fontId="1" fillId="98" borderId="57" xfId="0" applyNumberFormat="1" applyFont="1" applyFill="1" applyBorder="1" applyAlignment="1">
      <alignment horizontal="center"/>
    </xf>
    <xf numFmtId="0" fontId="1" fillId="98" borderId="54" xfId="0" applyNumberFormat="1" applyFont="1" applyFill="1" applyBorder="1" applyAlignment="1">
      <alignment horizontal="center"/>
    </xf>
    <xf numFmtId="0" fontId="1" fillId="98" borderId="55" xfId="0" applyNumberFormat="1" applyFont="1" applyFill="1" applyBorder="1"/>
    <xf numFmtId="0" fontId="55" fillId="101" borderId="62" xfId="0" applyFont="1" applyFill="1" applyBorder="1"/>
    <xf numFmtId="0" fontId="55" fillId="102" borderId="62" xfId="0" applyFont="1" applyFill="1" applyBorder="1"/>
    <xf numFmtId="0" fontId="56" fillId="103" borderId="63" xfId="0" applyFont="1" applyFill="1" applyBorder="1"/>
    <xf numFmtId="0" fontId="56" fillId="104" borderId="63" xfId="0" applyFont="1" applyFill="1" applyBorder="1"/>
    <xf numFmtId="0" fontId="58" fillId="106" borderId="62" xfId="0" applyFont="1" applyFill="1" applyBorder="1" applyAlignment="1">
      <alignment horizontal="center" vertical="center"/>
    </xf>
    <xf numFmtId="0" fontId="59" fillId="106" borderId="62" xfId="0" applyFont="1" applyFill="1" applyBorder="1" applyAlignment="1">
      <alignment horizontal="center" vertical="center"/>
    </xf>
    <xf numFmtId="0" fontId="57" fillId="107" borderId="62" xfId="0" applyFont="1" applyFill="1" applyBorder="1" applyAlignment="1">
      <alignment horizontal="right"/>
    </xf>
    <xf numFmtId="0" fontId="55" fillId="101" borderId="52" xfId="0" applyFont="1" applyFill="1" applyBorder="1"/>
    <xf numFmtId="43" fontId="55" fillId="101" borderId="52" xfId="0" applyNumberFormat="1" applyFont="1" applyFill="1" applyBorder="1"/>
    <xf numFmtId="0" fontId="55" fillId="101" borderId="64" xfId="0" applyFont="1" applyFill="1" applyBorder="1"/>
    <xf numFmtId="0" fontId="55" fillId="101" borderId="65" xfId="0" applyFont="1" applyFill="1" applyBorder="1"/>
    <xf numFmtId="43" fontId="55" fillId="101" borderId="64" xfId="0" applyNumberFormat="1" applyFont="1" applyFill="1" applyBorder="1"/>
    <xf numFmtId="43" fontId="55" fillId="101" borderId="65" xfId="0" applyNumberFormat="1" applyFont="1" applyFill="1" applyBorder="1"/>
    <xf numFmtId="0" fontId="54" fillId="101" borderId="64" xfId="0" applyFont="1" applyFill="1" applyBorder="1" applyAlignment="1">
      <alignment horizontal="center" vertical="center"/>
    </xf>
    <xf numFmtId="0" fontId="55" fillId="101" borderId="64" xfId="0" applyFont="1" applyFill="1" applyBorder="1" applyAlignment="1">
      <alignment horizontal="center" vertical="center"/>
    </xf>
    <xf numFmtId="0" fontId="55" fillId="101" borderId="65" xfId="0" applyFont="1" applyFill="1" applyBorder="1" applyAlignment="1">
      <alignment horizontal="center" vertical="center"/>
    </xf>
    <xf numFmtId="0" fontId="55" fillId="108" borderId="65" xfId="0" applyFont="1" applyFill="1" applyBorder="1" applyAlignment="1">
      <alignment horizontal="center" vertical="center"/>
    </xf>
    <xf numFmtId="43" fontId="55" fillId="108" borderId="65" xfId="0" applyNumberFormat="1" applyFont="1" applyFill="1" applyBorder="1"/>
    <xf numFmtId="0" fontId="55" fillId="108" borderId="65" xfId="0" applyFont="1" applyFill="1" applyBorder="1"/>
    <xf numFmtId="0" fontId="55" fillId="109" borderId="62" xfId="0" applyFont="1" applyFill="1" applyBorder="1"/>
    <xf numFmtId="43" fontId="55" fillId="109" borderId="62" xfId="0" applyNumberFormat="1" applyFont="1" applyFill="1" applyBorder="1"/>
    <xf numFmtId="0" fontId="60" fillId="106" borderId="62" xfId="0" applyFont="1" applyFill="1" applyBorder="1" applyAlignment="1">
      <alignment horizontal="center" vertical="center"/>
    </xf>
    <xf numFmtId="0" fontId="0" fillId="0" borderId="52" xfId="0" applyBorder="1"/>
    <xf numFmtId="0" fontId="55" fillId="101" borderId="58" xfId="0" applyFont="1" applyFill="1" applyBorder="1" applyAlignment="1">
      <alignment horizontal="center" vertical="center"/>
    </xf>
    <xf numFmtId="43" fontId="55" fillId="101" borderId="58" xfId="0" applyNumberFormat="1" applyFont="1" applyFill="1" applyBorder="1"/>
    <xf numFmtId="0" fontId="55" fillId="109" borderId="60" xfId="0" applyFont="1" applyFill="1" applyBorder="1"/>
    <xf numFmtId="0" fontId="55" fillId="109" borderId="58" xfId="0" applyFont="1" applyFill="1" applyBorder="1"/>
    <xf numFmtId="43" fontId="54" fillId="110" borderId="58" xfId="0" applyNumberFormat="1" applyFont="1" applyFill="1" applyBorder="1"/>
    <xf numFmtId="0" fontId="54" fillId="105" borderId="62" xfId="0" applyFont="1" applyFill="1" applyBorder="1" applyAlignment="1">
      <alignment horizontal="right"/>
    </xf>
    <xf numFmtId="0" fontId="61" fillId="106" borderId="53" xfId="0" applyFont="1" applyFill="1" applyBorder="1" applyAlignment="1">
      <alignment horizontal="center" vertical="center"/>
    </xf>
    <xf numFmtId="168" fontId="56" fillId="103" borderId="58" xfId="0" applyNumberFormat="1" applyFont="1" applyFill="1" applyBorder="1"/>
    <xf numFmtId="0" fontId="54" fillId="103" borderId="58" xfId="0" applyFont="1" applyFill="1" applyBorder="1" applyAlignment="1">
      <alignment horizontal="center" vertical="center"/>
    </xf>
    <xf numFmtId="0" fontId="54" fillId="111" borderId="53" xfId="0" applyFont="1" applyFill="1" applyBorder="1" applyAlignment="1">
      <alignment horizontal="center" vertical="center"/>
    </xf>
    <xf numFmtId="168" fontId="56" fillId="111" borderId="53" xfId="0" applyNumberFormat="1" applyFont="1" applyFill="1" applyBorder="1"/>
    <xf numFmtId="0" fontId="54" fillId="111" borderId="58" xfId="0" applyFont="1" applyFill="1" applyBorder="1" applyAlignment="1">
      <alignment horizontal="center" vertical="center"/>
    </xf>
    <xf numFmtId="168" fontId="56" fillId="111" borderId="58" xfId="0" applyNumberFormat="1" applyFont="1" applyFill="1" applyBorder="1"/>
    <xf numFmtId="0" fontId="54" fillId="111" borderId="56" xfId="0" applyFont="1" applyFill="1" applyBorder="1" applyAlignment="1">
      <alignment horizontal="center" vertical="center"/>
    </xf>
    <xf numFmtId="168" fontId="56" fillId="111" borderId="56" xfId="0" applyNumberFormat="1" applyFont="1" applyFill="1" applyBorder="1"/>
    <xf numFmtId="0" fontId="1" fillId="2" borderId="63" xfId="0" applyFont="1" applyFill="1" applyBorder="1"/>
    <xf numFmtId="4" fontId="54" fillId="0" borderId="63" xfId="0" applyNumberFormat="1" applyFont="1" applyFill="1" applyBorder="1"/>
    <xf numFmtId="0" fontId="54" fillId="2" borderId="63" xfId="0" applyFont="1" applyFill="1" applyBorder="1"/>
    <xf numFmtId="4" fontId="1" fillId="0" borderId="63" xfId="0" applyNumberFormat="1" applyFont="1" applyFill="1" applyBorder="1"/>
    <xf numFmtId="0" fontId="1" fillId="2" borderId="63" xfId="0" applyNumberFormat="1" applyFont="1" applyFill="1" applyBorder="1"/>
    <xf numFmtId="0" fontId="0" fillId="0" borderId="63" xfId="0" applyBorder="1"/>
    <xf numFmtId="0" fontId="0" fillId="0" borderId="63" xfId="0" applyFill="1" applyBorder="1"/>
    <xf numFmtId="0" fontId="55" fillId="101" borderId="66" xfId="0" applyFont="1" applyFill="1" applyBorder="1" applyAlignment="1">
      <alignment horizontal="center" vertical="center"/>
    </xf>
    <xf numFmtId="43" fontId="55" fillId="101" borderId="66" xfId="0" applyNumberFormat="1" applyFont="1" applyFill="1" applyBorder="1"/>
    <xf numFmtId="0" fontId="55" fillId="101" borderId="66" xfId="0" applyFont="1" applyFill="1" applyBorder="1"/>
    <xf numFmtId="0" fontId="55" fillId="109" borderId="66" xfId="0" applyFont="1" applyFill="1" applyBorder="1"/>
    <xf numFmtId="0" fontId="54" fillId="101" borderId="68" xfId="0" applyFont="1" applyFill="1" applyBorder="1" applyAlignment="1">
      <alignment horizontal="center" vertical="center"/>
    </xf>
    <xf numFmtId="0" fontId="54" fillId="109" borderId="68" xfId="0" applyFont="1" applyFill="1" applyBorder="1" applyAlignment="1">
      <alignment horizontal="center" vertical="center"/>
    </xf>
    <xf numFmtId="0" fontId="55" fillId="101" borderId="68" xfId="0" applyFont="1" applyFill="1" applyBorder="1" applyAlignment="1">
      <alignment horizontal="center" vertical="center"/>
    </xf>
    <xf numFmtId="43" fontId="55" fillId="101" borderId="68" xfId="0" applyNumberFormat="1" applyFont="1" applyFill="1" applyBorder="1"/>
    <xf numFmtId="43" fontId="54" fillId="110" borderId="68" xfId="0" applyNumberFormat="1" applyFont="1" applyFill="1" applyBorder="1"/>
    <xf numFmtId="0" fontId="55" fillId="101" borderId="67" xfId="0" applyFont="1" applyFill="1" applyBorder="1"/>
    <xf numFmtId="43" fontId="55" fillId="101" borderId="67" xfId="0" applyNumberFormat="1" applyFont="1" applyFill="1" applyBorder="1"/>
    <xf numFmtId="0" fontId="55" fillId="101" borderId="68" xfId="0" applyFont="1" applyFill="1" applyBorder="1"/>
    <xf numFmtId="0" fontId="0" fillId="0" borderId="67" xfId="0" applyBorder="1"/>
    <xf numFmtId="0" fontId="55" fillId="101" borderId="63" xfId="0" applyFont="1" applyFill="1" applyBorder="1"/>
    <xf numFmtId="0" fontId="55" fillId="109" borderId="63" xfId="0" applyFont="1" applyFill="1" applyBorder="1"/>
    <xf numFmtId="43" fontId="55" fillId="109" borderId="63" xfId="0" applyNumberFormat="1" applyFont="1" applyFill="1" applyBorder="1"/>
    <xf numFmtId="0" fontId="55" fillId="101" borderId="69" xfId="0" applyFont="1" applyFill="1" applyBorder="1" applyAlignment="1">
      <alignment horizontal="center" vertical="center"/>
    </xf>
    <xf numFmtId="0" fontId="55" fillId="109" borderId="69" xfId="0" applyFont="1" applyFill="1" applyBorder="1"/>
    <xf numFmtId="43" fontId="55" fillId="101" borderId="69" xfId="0" applyNumberFormat="1" applyFont="1" applyFill="1" applyBorder="1"/>
    <xf numFmtId="0" fontId="57" fillId="107" borderId="63" xfId="0" applyFont="1" applyFill="1" applyBorder="1" applyAlignment="1">
      <alignment horizontal="right"/>
    </xf>
    <xf numFmtId="43" fontId="54" fillId="110" borderId="69" xfId="0" applyNumberFormat="1" applyFont="1" applyFill="1" applyBorder="1"/>
    <xf numFmtId="0" fontId="2" fillId="4" borderId="63" xfId="0" applyFont="1" applyFill="1" applyBorder="1"/>
    <xf numFmtId="4" fontId="54" fillId="4" borderId="63" xfId="0" applyNumberFormat="1" applyFont="1" applyFill="1" applyBorder="1"/>
    <xf numFmtId="0" fontId="54" fillId="4" borderId="63" xfId="0" applyFont="1" applyFill="1" applyBorder="1"/>
    <xf numFmtId="4" fontId="2" fillId="4" borderId="63" xfId="0" applyNumberFormat="1" applyFont="1" applyFill="1" applyBorder="1"/>
    <xf numFmtId="0" fontId="2" fillId="4" borderId="63" xfId="0" applyNumberFormat="1" applyFont="1" applyFill="1" applyBorder="1"/>
    <xf numFmtId="0" fontId="3" fillId="6" borderId="63" xfId="0" applyFont="1" applyFill="1" applyBorder="1"/>
    <xf numFmtId="4" fontId="54" fillId="6" borderId="63" xfId="0" applyNumberFormat="1" applyFont="1" applyFill="1" applyBorder="1"/>
    <xf numFmtId="0" fontId="54" fillId="6" borderId="63" xfId="0" applyFont="1" applyFill="1" applyBorder="1"/>
    <xf numFmtId="4" fontId="3" fillId="6" borderId="63" xfId="0" applyNumberFormat="1" applyFont="1" applyFill="1" applyBorder="1"/>
    <xf numFmtId="0" fontId="3" fillId="6" borderId="63" xfId="0" applyNumberFormat="1" applyFont="1" applyFill="1" applyBorder="1"/>
    <xf numFmtId="0" fontId="4" fillId="8" borderId="63" xfId="0" applyFont="1" applyFill="1" applyBorder="1"/>
    <xf numFmtId="4" fontId="54" fillId="8" borderId="63" xfId="0" applyNumberFormat="1" applyFont="1" applyFill="1" applyBorder="1"/>
    <xf numFmtId="0" fontId="54" fillId="8" borderId="63" xfId="0" applyFont="1" applyFill="1" applyBorder="1"/>
    <xf numFmtId="4" fontId="4" fillId="8" borderId="63" xfId="0" applyNumberFormat="1" applyFont="1" applyFill="1" applyBorder="1"/>
    <xf numFmtId="0" fontId="4" fillId="8" borderId="63" xfId="0" applyNumberFormat="1" applyFont="1" applyFill="1" applyBorder="1"/>
    <xf numFmtId="0" fontId="1" fillId="98" borderId="63" xfId="0" applyFont="1" applyFill="1" applyBorder="1"/>
    <xf numFmtId="4" fontId="54" fillId="98" borderId="63" xfId="0" applyNumberFormat="1" applyFont="1" applyFill="1" applyBorder="1"/>
    <xf numFmtId="0" fontId="54" fillId="98" borderId="63" xfId="0" applyFont="1" applyFill="1" applyBorder="1"/>
    <xf numFmtId="4" fontId="1" fillId="98" borderId="63" xfId="0" applyNumberFormat="1" applyFont="1" applyFill="1" applyBorder="1"/>
    <xf numFmtId="0" fontId="1" fillId="98" borderId="63" xfId="0" applyNumberFormat="1" applyFont="1" applyFill="1" applyBorder="1"/>
    <xf numFmtId="0" fontId="5" fillId="10" borderId="63" xfId="0" applyFont="1" applyFill="1" applyBorder="1"/>
    <xf numFmtId="4" fontId="54" fillId="10" borderId="63" xfId="0" applyNumberFormat="1" applyFont="1" applyFill="1" applyBorder="1"/>
    <xf numFmtId="0" fontId="54" fillId="10" borderId="63" xfId="0" applyFont="1" applyFill="1" applyBorder="1"/>
    <xf numFmtId="4" fontId="5" fillId="10" borderId="63" xfId="0" applyNumberFormat="1" applyFont="1" applyFill="1" applyBorder="1"/>
    <xf numFmtId="0" fontId="5" fillId="10" borderId="63" xfId="0" applyNumberFormat="1" applyFont="1" applyFill="1" applyBorder="1"/>
    <xf numFmtId="0" fontId="6" fillId="12" borderId="63" xfId="0" applyFont="1" applyFill="1" applyBorder="1"/>
    <xf numFmtId="4" fontId="54" fillId="12" borderId="63" xfId="0" applyNumberFormat="1" applyFont="1" applyFill="1" applyBorder="1"/>
    <xf numFmtId="0" fontId="54" fillId="12" borderId="63" xfId="0" applyFont="1" applyFill="1" applyBorder="1"/>
    <xf numFmtId="4" fontId="6" fillId="12" borderId="63" xfId="0" applyNumberFormat="1" applyFont="1" applyFill="1" applyBorder="1"/>
    <xf numFmtId="0" fontId="6" fillId="12" borderId="63" xfId="0" applyNumberFormat="1" applyFont="1" applyFill="1" applyBorder="1"/>
    <xf numFmtId="0" fontId="7" fillId="14" borderId="63" xfId="0" applyFont="1" applyFill="1" applyBorder="1"/>
    <xf numFmtId="4" fontId="54" fillId="14" borderId="63" xfId="0" applyNumberFormat="1" applyFont="1" applyFill="1" applyBorder="1"/>
    <xf numFmtId="0" fontId="54" fillId="14" borderId="63" xfId="0" applyFont="1" applyFill="1" applyBorder="1"/>
    <xf numFmtId="4" fontId="7" fillId="14" borderId="63" xfId="0" applyNumberFormat="1" applyFont="1" applyFill="1" applyBorder="1"/>
    <xf numFmtId="0" fontId="7" fillId="14" borderId="63" xfId="0" applyNumberFormat="1" applyFont="1" applyFill="1" applyBorder="1"/>
    <xf numFmtId="0" fontId="8" fillId="16" borderId="63" xfId="0" applyFont="1" applyFill="1" applyBorder="1"/>
    <xf numFmtId="4" fontId="54" fillId="16" borderId="63" xfId="0" applyNumberFormat="1" applyFont="1" applyFill="1" applyBorder="1"/>
    <xf numFmtId="0" fontId="54" fillId="16" borderId="63" xfId="0" applyFont="1" applyFill="1" applyBorder="1"/>
    <xf numFmtId="4" fontId="8" fillId="16" borderId="63" xfId="0" applyNumberFormat="1" applyFont="1" applyFill="1" applyBorder="1"/>
    <xf numFmtId="0" fontId="8" fillId="16" borderId="63" xfId="0" applyNumberFormat="1" applyFont="1" applyFill="1" applyBorder="1"/>
    <xf numFmtId="0" fontId="9" fillId="18" borderId="63" xfId="0" applyFont="1" applyFill="1" applyBorder="1"/>
    <xf numFmtId="4" fontId="54" fillId="18" borderId="63" xfId="0" applyNumberFormat="1" applyFont="1" applyFill="1" applyBorder="1"/>
    <xf numFmtId="0" fontId="54" fillId="18" borderId="63" xfId="0" applyFont="1" applyFill="1" applyBorder="1"/>
    <xf numFmtId="4" fontId="9" fillId="18" borderId="63" xfId="0" applyNumberFormat="1" applyFont="1" applyFill="1" applyBorder="1"/>
    <xf numFmtId="0" fontId="9" fillId="18" borderId="63" xfId="0" applyNumberFormat="1" applyFont="1" applyFill="1" applyBorder="1"/>
    <xf numFmtId="0" fontId="10" fillId="20" borderId="63" xfId="0" applyFont="1" applyFill="1" applyBorder="1"/>
    <xf numFmtId="4" fontId="54" fillId="20" borderId="63" xfId="0" applyNumberFormat="1" applyFont="1" applyFill="1" applyBorder="1"/>
    <xf numFmtId="0" fontId="54" fillId="20" borderId="63" xfId="0" applyFont="1" applyFill="1" applyBorder="1"/>
    <xf numFmtId="4" fontId="10" fillId="20" borderId="63" xfId="0" applyNumberFormat="1" applyFont="1" applyFill="1" applyBorder="1"/>
    <xf numFmtId="0" fontId="10" fillId="20" borderId="63" xfId="0" applyNumberFormat="1" applyFont="1" applyFill="1" applyBorder="1"/>
    <xf numFmtId="0" fontId="11" fillId="22" borderId="63" xfId="0" applyFont="1" applyFill="1" applyBorder="1"/>
    <xf numFmtId="4" fontId="54" fillId="22" borderId="63" xfId="0" applyNumberFormat="1" applyFont="1" applyFill="1" applyBorder="1"/>
    <xf numFmtId="0" fontId="54" fillId="22" borderId="63" xfId="0" applyFont="1" applyFill="1" applyBorder="1"/>
    <xf numFmtId="4" fontId="11" fillId="22" borderId="63" xfId="0" applyNumberFormat="1" applyFont="1" applyFill="1" applyBorder="1"/>
    <xf numFmtId="0" fontId="11" fillId="22" borderId="63" xfId="0" applyNumberFormat="1" applyFont="1" applyFill="1" applyBorder="1"/>
    <xf numFmtId="0" fontId="12" fillId="24" borderId="63" xfId="0" applyFont="1" applyFill="1" applyBorder="1"/>
    <xf numFmtId="4" fontId="54" fillId="24" borderId="63" xfId="0" applyNumberFormat="1" applyFont="1" applyFill="1" applyBorder="1"/>
    <xf numFmtId="0" fontId="54" fillId="24" borderId="63" xfId="0" applyFont="1" applyFill="1" applyBorder="1"/>
    <xf numFmtId="4" fontId="12" fillId="24" borderId="63" xfId="0" applyNumberFormat="1" applyFont="1" applyFill="1" applyBorder="1"/>
    <xf numFmtId="0" fontId="12" fillId="24" borderId="63" xfId="0" applyNumberFormat="1" applyFont="1" applyFill="1" applyBorder="1"/>
    <xf numFmtId="0" fontId="13" fillId="26" borderId="63" xfId="0" applyFont="1" applyFill="1" applyBorder="1"/>
    <xf numFmtId="4" fontId="54" fillId="26" borderId="63" xfId="0" applyNumberFormat="1" applyFont="1" applyFill="1" applyBorder="1"/>
    <xf numFmtId="0" fontId="54" fillId="26" borderId="63" xfId="0" applyFont="1" applyFill="1" applyBorder="1"/>
    <xf numFmtId="4" fontId="13" fillId="26" borderId="63" xfId="0" applyNumberFormat="1" applyFont="1" applyFill="1" applyBorder="1"/>
    <xf numFmtId="0" fontId="13" fillId="26" borderId="63" xfId="0" applyNumberFormat="1" applyFont="1" applyFill="1" applyBorder="1"/>
    <xf numFmtId="0" fontId="14" fillId="28" borderId="63" xfId="0" applyFont="1" applyFill="1" applyBorder="1"/>
    <xf numFmtId="4" fontId="54" fillId="28" borderId="63" xfId="0" applyNumberFormat="1" applyFont="1" applyFill="1" applyBorder="1"/>
    <xf numFmtId="0" fontId="54" fillId="28" borderId="63" xfId="0" applyFont="1" applyFill="1" applyBorder="1"/>
    <xf numFmtId="4" fontId="14" fillId="28" borderId="63" xfId="0" applyNumberFormat="1" applyFont="1" applyFill="1" applyBorder="1"/>
    <xf numFmtId="0" fontId="14" fillId="28" borderId="63" xfId="0" applyNumberFormat="1" applyFont="1" applyFill="1" applyBorder="1"/>
    <xf numFmtId="0" fontId="15" fillId="30" borderId="63" xfId="0" applyFont="1" applyFill="1" applyBorder="1"/>
    <xf numFmtId="4" fontId="54" fillId="30" borderId="63" xfId="0" applyNumberFormat="1" applyFont="1" applyFill="1" applyBorder="1"/>
    <xf numFmtId="0" fontId="54" fillId="30" borderId="63" xfId="0" applyFont="1" applyFill="1" applyBorder="1"/>
    <xf numFmtId="4" fontId="15" fillId="30" borderId="63" xfId="0" applyNumberFormat="1" applyFont="1" applyFill="1" applyBorder="1"/>
    <xf numFmtId="0" fontId="15" fillId="30" borderId="63" xfId="0" applyNumberFormat="1" applyFont="1" applyFill="1" applyBorder="1"/>
    <xf numFmtId="0" fontId="16" fillId="32" borderId="63" xfId="0" applyFont="1" applyFill="1" applyBorder="1"/>
    <xf numFmtId="4" fontId="54" fillId="32" borderId="63" xfId="0" applyNumberFormat="1" applyFont="1" applyFill="1" applyBorder="1"/>
    <xf numFmtId="0" fontId="54" fillId="32" borderId="63" xfId="0" applyFont="1" applyFill="1" applyBorder="1"/>
    <xf numFmtId="4" fontId="16" fillId="32" borderId="63" xfId="0" applyNumberFormat="1" applyFont="1" applyFill="1" applyBorder="1"/>
    <xf numFmtId="0" fontId="16" fillId="32" borderId="63" xfId="0" applyNumberFormat="1" applyFont="1" applyFill="1" applyBorder="1"/>
    <xf numFmtId="0" fontId="17" fillId="34" borderId="63" xfId="0" applyFont="1" applyFill="1" applyBorder="1"/>
    <xf numFmtId="4" fontId="54" fillId="34" borderId="63" xfId="0" applyNumberFormat="1" applyFont="1" applyFill="1" applyBorder="1"/>
    <xf numFmtId="0" fontId="54" fillId="34" borderId="63" xfId="0" applyFont="1" applyFill="1" applyBorder="1"/>
    <xf numFmtId="4" fontId="17" fillId="34" borderId="63" xfId="0" applyNumberFormat="1" applyFont="1" applyFill="1" applyBorder="1"/>
    <xf numFmtId="0" fontId="17" fillId="34" borderId="63" xfId="0" applyNumberFormat="1" applyFont="1" applyFill="1" applyBorder="1"/>
    <xf numFmtId="0" fontId="18" fillId="36" borderId="63" xfId="0" applyFont="1" applyFill="1" applyBorder="1"/>
    <xf numFmtId="4" fontId="54" fillId="36" borderId="63" xfId="0" applyNumberFormat="1" applyFont="1" applyFill="1" applyBorder="1"/>
    <xf numFmtId="0" fontId="54" fillId="36" borderId="63" xfId="0" applyFont="1" applyFill="1" applyBorder="1"/>
    <xf numFmtId="4" fontId="18" fillId="36" borderId="63" xfId="0" applyNumberFormat="1" applyFont="1" applyFill="1" applyBorder="1"/>
    <xf numFmtId="0" fontId="18" fillId="36" borderId="63" xfId="0" applyNumberFormat="1" applyFont="1" applyFill="1" applyBorder="1"/>
    <xf numFmtId="0" fontId="19" fillId="38" borderId="63" xfId="0" applyFont="1" applyFill="1" applyBorder="1"/>
    <xf numFmtId="4" fontId="54" fillId="38" borderId="63" xfId="0" applyNumberFormat="1" applyFont="1" applyFill="1" applyBorder="1"/>
    <xf numFmtId="0" fontId="54" fillId="38" borderId="63" xfId="0" applyFont="1" applyFill="1" applyBorder="1"/>
    <xf numFmtId="4" fontId="19" fillId="38" borderId="63" xfId="0" applyNumberFormat="1" applyFont="1" applyFill="1" applyBorder="1"/>
    <xf numFmtId="0" fontId="19" fillId="38" borderId="63" xfId="0" applyNumberFormat="1" applyFont="1" applyFill="1" applyBorder="1"/>
    <xf numFmtId="0" fontId="20" fillId="40" borderId="63" xfId="0" applyFont="1" applyFill="1" applyBorder="1"/>
    <xf numFmtId="4" fontId="54" fillId="40" borderId="63" xfId="0" applyNumberFormat="1" applyFont="1" applyFill="1" applyBorder="1"/>
    <xf numFmtId="0" fontId="54" fillId="40" borderId="63" xfId="0" applyFont="1" applyFill="1" applyBorder="1"/>
    <xf numFmtId="4" fontId="20" fillId="40" borderId="63" xfId="0" applyNumberFormat="1" applyFont="1" applyFill="1" applyBorder="1"/>
    <xf numFmtId="0" fontId="20" fillId="40" borderId="63" xfId="0" applyNumberFormat="1" applyFont="1" applyFill="1" applyBorder="1"/>
    <xf numFmtId="0" fontId="21" fillId="42" borderId="63" xfId="0" applyFont="1" applyFill="1" applyBorder="1"/>
    <xf numFmtId="4" fontId="54" fillId="42" borderId="63" xfId="0" applyNumberFormat="1" applyFont="1" applyFill="1" applyBorder="1"/>
    <xf numFmtId="0" fontId="54" fillId="42" borderId="63" xfId="0" applyFont="1" applyFill="1" applyBorder="1"/>
    <xf numFmtId="4" fontId="21" fillId="42" borderId="63" xfId="0" applyNumberFormat="1" applyFont="1" applyFill="1" applyBorder="1"/>
    <xf numFmtId="0" fontId="21" fillId="42" borderId="63" xfId="0" applyNumberFormat="1" applyFont="1" applyFill="1" applyBorder="1"/>
    <xf numFmtId="0" fontId="22" fillId="44" borderId="63" xfId="0" applyFont="1" applyFill="1" applyBorder="1"/>
    <xf numFmtId="4" fontId="54" fillId="44" borderId="63" xfId="0" applyNumberFormat="1" applyFont="1" applyFill="1" applyBorder="1"/>
    <xf numFmtId="0" fontId="54" fillId="44" borderId="63" xfId="0" applyFont="1" applyFill="1" applyBorder="1"/>
    <xf numFmtId="4" fontId="22" fillId="44" borderId="63" xfId="0" applyNumberFormat="1" applyFont="1" applyFill="1" applyBorder="1"/>
    <xf numFmtId="0" fontId="22" fillId="44" borderId="63" xfId="0" applyNumberFormat="1" applyFont="1" applyFill="1" applyBorder="1"/>
    <xf numFmtId="0" fontId="23" fillId="46" borderId="63" xfId="0" applyFont="1" applyFill="1" applyBorder="1"/>
    <xf numFmtId="4" fontId="54" fillId="46" borderId="63" xfId="0" applyNumberFormat="1" applyFont="1" applyFill="1" applyBorder="1"/>
    <xf numFmtId="0" fontId="54" fillId="46" borderId="63" xfId="0" applyFont="1" applyFill="1" applyBorder="1"/>
    <xf numFmtId="4" fontId="23" fillId="46" borderId="63" xfId="0" applyNumberFormat="1" applyFont="1" applyFill="1" applyBorder="1"/>
    <xf numFmtId="0" fontId="23" fillId="46" borderId="63" xfId="0" applyNumberFormat="1" applyFont="1" applyFill="1" applyBorder="1"/>
    <xf numFmtId="0" fontId="24" fillId="48" borderId="63" xfId="0" applyFont="1" applyFill="1" applyBorder="1"/>
    <xf numFmtId="4" fontId="54" fillId="48" borderId="63" xfId="0" applyNumberFormat="1" applyFont="1" applyFill="1" applyBorder="1"/>
    <xf numFmtId="0" fontId="54" fillId="48" borderId="63" xfId="0" applyFont="1" applyFill="1" applyBorder="1"/>
    <xf numFmtId="4" fontId="24" fillId="48" borderId="63" xfId="0" applyNumberFormat="1" applyFont="1" applyFill="1" applyBorder="1"/>
    <xf numFmtId="0" fontId="24" fillId="48" borderId="63" xfId="0" applyNumberFormat="1" applyFont="1" applyFill="1" applyBorder="1"/>
    <xf numFmtId="0" fontId="25" fillId="50" borderId="63" xfId="0" applyFont="1" applyFill="1" applyBorder="1"/>
    <xf numFmtId="4" fontId="54" fillId="50" borderId="63" xfId="0" applyNumberFormat="1" applyFont="1" applyFill="1" applyBorder="1"/>
    <xf numFmtId="0" fontId="54" fillId="50" borderId="63" xfId="0" applyFont="1" applyFill="1" applyBorder="1"/>
    <xf numFmtId="4" fontId="25" fillId="50" borderId="63" xfId="0" applyNumberFormat="1" applyFont="1" applyFill="1" applyBorder="1"/>
    <xf numFmtId="0" fontId="25" fillId="50" borderId="63" xfId="0" applyNumberFormat="1" applyFont="1" applyFill="1" applyBorder="1"/>
    <xf numFmtId="0" fontId="26" fillId="52" borderId="63" xfId="0" applyFont="1" applyFill="1" applyBorder="1"/>
    <xf numFmtId="4" fontId="54" fillId="52" borderId="63" xfId="0" applyNumberFormat="1" applyFont="1" applyFill="1" applyBorder="1"/>
    <xf numFmtId="0" fontId="54" fillId="52" borderId="63" xfId="0" applyFont="1" applyFill="1" applyBorder="1"/>
    <xf numFmtId="4" fontId="26" fillId="52" borderId="63" xfId="0" applyNumberFormat="1" applyFont="1" applyFill="1" applyBorder="1"/>
    <xf numFmtId="0" fontId="26" fillId="52" borderId="63" xfId="0" applyNumberFormat="1" applyFont="1" applyFill="1" applyBorder="1"/>
    <xf numFmtId="0" fontId="27" fillId="54" borderId="63" xfId="0" applyFont="1" applyFill="1" applyBorder="1"/>
    <xf numFmtId="4" fontId="54" fillId="54" borderId="63" xfId="0" applyNumberFormat="1" applyFont="1" applyFill="1" applyBorder="1"/>
    <xf numFmtId="0" fontId="54" fillId="54" borderId="63" xfId="0" applyFont="1" applyFill="1" applyBorder="1"/>
    <xf numFmtId="4" fontId="27" fillId="54" borderId="63" xfId="0" applyNumberFormat="1" applyFont="1" applyFill="1" applyBorder="1"/>
    <xf numFmtId="0" fontId="27" fillId="54" borderId="63" xfId="0" applyNumberFormat="1" applyFont="1" applyFill="1" applyBorder="1"/>
    <xf numFmtId="0" fontId="28" fillId="56" borderId="63" xfId="0" applyFont="1" applyFill="1" applyBorder="1"/>
    <xf numFmtId="4" fontId="54" fillId="56" borderId="63" xfId="0" applyNumberFormat="1" applyFont="1" applyFill="1" applyBorder="1"/>
    <xf numFmtId="0" fontId="54" fillId="56" borderId="63" xfId="0" applyFont="1" applyFill="1" applyBorder="1"/>
    <xf numFmtId="4" fontId="28" fillId="56" borderId="63" xfId="0" applyNumberFormat="1" applyFont="1" applyFill="1" applyBorder="1"/>
    <xf numFmtId="0" fontId="28" fillId="56" borderId="63" xfId="0" applyNumberFormat="1" applyFont="1" applyFill="1" applyBorder="1"/>
    <xf numFmtId="0" fontId="29" fillId="58" borderId="63" xfId="0" applyFont="1" applyFill="1" applyBorder="1"/>
    <xf numFmtId="4" fontId="54" fillId="58" borderId="63" xfId="0" applyNumberFormat="1" applyFont="1" applyFill="1" applyBorder="1"/>
    <xf numFmtId="0" fontId="54" fillId="58" borderId="63" xfId="0" applyFont="1" applyFill="1" applyBorder="1"/>
    <xf numFmtId="4" fontId="29" fillId="58" borderId="63" xfId="0" applyNumberFormat="1" applyFont="1" applyFill="1" applyBorder="1"/>
    <xf numFmtId="0" fontId="29" fillId="58" borderId="63" xfId="0" applyNumberFormat="1" applyFont="1" applyFill="1" applyBorder="1"/>
    <xf numFmtId="0" fontId="30" fillId="60" borderId="63" xfId="0" applyFont="1" applyFill="1" applyBorder="1"/>
    <xf numFmtId="4" fontId="54" fillId="60" borderId="63" xfId="0" applyNumberFormat="1" applyFont="1" applyFill="1" applyBorder="1"/>
    <xf numFmtId="0" fontId="54" fillId="60" borderId="63" xfId="0" applyFont="1" applyFill="1" applyBorder="1"/>
    <xf numFmtId="4" fontId="30" fillId="60" borderId="63" xfId="0" applyNumberFormat="1" applyFont="1" applyFill="1" applyBorder="1"/>
    <xf numFmtId="0" fontId="30" fillId="60" borderId="63" xfId="0" applyNumberFormat="1" applyFont="1" applyFill="1" applyBorder="1"/>
    <xf numFmtId="0" fontId="31" fillId="62" borderId="63" xfId="0" applyFont="1" applyFill="1" applyBorder="1"/>
    <xf numFmtId="4" fontId="54" fillId="62" borderId="63" xfId="0" applyNumberFormat="1" applyFont="1" applyFill="1" applyBorder="1"/>
    <xf numFmtId="0" fontId="54" fillId="62" borderId="63" xfId="0" applyFont="1" applyFill="1" applyBorder="1"/>
    <xf numFmtId="4" fontId="31" fillId="62" borderId="63" xfId="0" applyNumberFormat="1" applyFont="1" applyFill="1" applyBorder="1"/>
    <xf numFmtId="0" fontId="31" fillId="62" borderId="63" xfId="0" applyNumberFormat="1" applyFont="1" applyFill="1" applyBorder="1"/>
    <xf numFmtId="0" fontId="32" fillId="64" borderId="63" xfId="0" applyFont="1" applyFill="1" applyBorder="1"/>
    <xf numFmtId="4" fontId="54" fillId="64" borderId="63" xfId="0" applyNumberFormat="1" applyFont="1" applyFill="1" applyBorder="1"/>
    <xf numFmtId="0" fontId="54" fillId="64" borderId="63" xfId="0" applyFont="1" applyFill="1" applyBorder="1"/>
    <xf numFmtId="4" fontId="32" fillId="64" borderId="63" xfId="0" applyNumberFormat="1" applyFont="1" applyFill="1" applyBorder="1"/>
    <xf numFmtId="0" fontId="32" fillId="64" borderId="63" xfId="0" applyNumberFormat="1" applyFont="1" applyFill="1" applyBorder="1"/>
    <xf numFmtId="0" fontId="33" fillId="66" borderId="63" xfId="0" applyFont="1" applyFill="1" applyBorder="1"/>
    <xf numFmtId="4" fontId="54" fillId="66" borderId="63" xfId="0" applyNumberFormat="1" applyFont="1" applyFill="1" applyBorder="1"/>
    <xf numFmtId="0" fontId="54" fillId="66" borderId="63" xfId="0" applyFont="1" applyFill="1" applyBorder="1"/>
    <xf numFmtId="4" fontId="33" fillId="66" borderId="63" xfId="0" applyNumberFormat="1" applyFont="1" applyFill="1" applyBorder="1"/>
    <xf numFmtId="0" fontId="33" fillId="66" borderId="63" xfId="0" applyNumberFormat="1" applyFont="1" applyFill="1" applyBorder="1"/>
    <xf numFmtId="0" fontId="34" fillId="68" borderId="63" xfId="0" applyFont="1" applyFill="1" applyBorder="1"/>
    <xf numFmtId="4" fontId="54" fillId="68" borderId="63" xfId="0" applyNumberFormat="1" applyFont="1" applyFill="1" applyBorder="1"/>
    <xf numFmtId="0" fontId="54" fillId="68" borderId="63" xfId="0" applyFont="1" applyFill="1" applyBorder="1"/>
    <xf numFmtId="4" fontId="34" fillId="68" borderId="63" xfId="0" applyNumberFormat="1" applyFont="1" applyFill="1" applyBorder="1"/>
    <xf numFmtId="0" fontId="34" fillId="68" borderId="63" xfId="0" applyNumberFormat="1" applyFont="1" applyFill="1" applyBorder="1"/>
    <xf numFmtId="0" fontId="35" fillId="70" borderId="63" xfId="0" applyFont="1" applyFill="1" applyBorder="1"/>
    <xf numFmtId="4" fontId="54" fillId="70" borderId="63" xfId="0" applyNumberFormat="1" applyFont="1" applyFill="1" applyBorder="1"/>
    <xf numFmtId="0" fontId="54" fillId="70" borderId="63" xfId="0" applyFont="1" applyFill="1" applyBorder="1"/>
    <xf numFmtId="4" fontId="35" fillId="70" borderId="63" xfId="0" applyNumberFormat="1" applyFont="1" applyFill="1" applyBorder="1"/>
    <xf numFmtId="0" fontId="35" fillId="70" borderId="63" xfId="0" applyNumberFormat="1" applyFont="1" applyFill="1" applyBorder="1"/>
    <xf numFmtId="0" fontId="36" fillId="72" borderId="63" xfId="0" applyFont="1" applyFill="1" applyBorder="1"/>
    <xf numFmtId="4" fontId="54" fillId="72" borderId="63" xfId="0" applyNumberFormat="1" applyFont="1" applyFill="1" applyBorder="1"/>
    <xf numFmtId="0" fontId="54" fillId="72" borderId="63" xfId="0" applyFont="1" applyFill="1" applyBorder="1"/>
    <xf numFmtId="4" fontId="36" fillId="72" borderId="63" xfId="0" applyNumberFormat="1" applyFont="1" applyFill="1" applyBorder="1"/>
    <xf numFmtId="0" fontId="36" fillId="72" borderId="63" xfId="0" applyNumberFormat="1" applyFont="1" applyFill="1" applyBorder="1"/>
    <xf numFmtId="0" fontId="37" fillId="74" borderId="63" xfId="0" applyFont="1" applyFill="1" applyBorder="1"/>
    <xf numFmtId="4" fontId="54" fillId="74" borderId="63" xfId="0" applyNumberFormat="1" applyFont="1" applyFill="1" applyBorder="1"/>
    <xf numFmtId="0" fontId="54" fillId="74" borderId="63" xfId="0" applyFont="1" applyFill="1" applyBorder="1"/>
    <xf numFmtId="4" fontId="37" fillId="74" borderId="63" xfId="0" applyNumberFormat="1" applyFont="1" applyFill="1" applyBorder="1"/>
    <xf numFmtId="0" fontId="37" fillId="74" borderId="63" xfId="0" applyNumberFormat="1" applyFont="1" applyFill="1" applyBorder="1"/>
    <xf numFmtId="0" fontId="38" fillId="76" borderId="63" xfId="0" applyFont="1" applyFill="1" applyBorder="1"/>
    <xf numFmtId="4" fontId="54" fillId="76" borderId="63" xfId="0" applyNumberFormat="1" applyFont="1" applyFill="1" applyBorder="1"/>
    <xf numFmtId="0" fontId="54" fillId="76" borderId="63" xfId="0" applyFont="1" applyFill="1" applyBorder="1"/>
    <xf numFmtId="4" fontId="38" fillId="76" borderId="63" xfId="0" applyNumberFormat="1" applyFont="1" applyFill="1" applyBorder="1"/>
    <xf numFmtId="0" fontId="38" fillId="76" borderId="63" xfId="0" applyNumberFormat="1" applyFont="1" applyFill="1" applyBorder="1"/>
    <xf numFmtId="0" fontId="39" fillId="78" borderId="63" xfId="0" applyFont="1" applyFill="1" applyBorder="1"/>
    <xf numFmtId="4" fontId="54" fillId="78" borderId="63" xfId="0" applyNumberFormat="1" applyFont="1" applyFill="1" applyBorder="1"/>
    <xf numFmtId="0" fontId="54" fillId="78" borderId="63" xfId="0" applyFont="1" applyFill="1" applyBorder="1"/>
    <xf numFmtId="4" fontId="39" fillId="78" borderId="63" xfId="0" applyNumberFormat="1" applyFont="1" applyFill="1" applyBorder="1"/>
    <xf numFmtId="0" fontId="39" fillId="78" borderId="63" xfId="0" applyNumberFormat="1" applyFont="1" applyFill="1" applyBorder="1"/>
    <xf numFmtId="0" fontId="40" fillId="80" borderId="63" xfId="0" applyFont="1" applyFill="1" applyBorder="1"/>
    <xf numFmtId="4" fontId="54" fillId="80" borderId="63" xfId="0" applyNumberFormat="1" applyFont="1" applyFill="1" applyBorder="1"/>
    <xf numFmtId="0" fontId="54" fillId="80" borderId="63" xfId="0" applyFont="1" applyFill="1" applyBorder="1"/>
    <xf numFmtId="4" fontId="40" fillId="80" borderId="63" xfId="0" applyNumberFormat="1" applyFont="1" applyFill="1" applyBorder="1"/>
    <xf numFmtId="0" fontId="40" fillId="80" borderId="63" xfId="0" applyNumberFormat="1" applyFont="1" applyFill="1" applyBorder="1"/>
    <xf numFmtId="0" fontId="41" fillId="82" borderId="63" xfId="0" applyFont="1" applyFill="1" applyBorder="1"/>
    <xf numFmtId="4" fontId="54" fillId="82" borderId="63" xfId="0" applyNumberFormat="1" applyFont="1" applyFill="1" applyBorder="1"/>
    <xf numFmtId="0" fontId="54" fillId="82" borderId="63" xfId="0" applyFont="1" applyFill="1" applyBorder="1"/>
    <xf numFmtId="4" fontId="41" fillId="82" borderId="63" xfId="0" applyNumberFormat="1" applyFont="1" applyFill="1" applyBorder="1"/>
    <xf numFmtId="0" fontId="41" fillId="82" borderId="63" xfId="0" applyNumberFormat="1" applyFont="1" applyFill="1" applyBorder="1"/>
    <xf numFmtId="0" fontId="42" fillId="84" borderId="63" xfId="0" applyFont="1" applyFill="1" applyBorder="1"/>
    <xf numFmtId="4" fontId="54" fillId="84" borderId="63" xfId="0" applyNumberFormat="1" applyFont="1" applyFill="1" applyBorder="1"/>
    <xf numFmtId="0" fontId="54" fillId="84" borderId="63" xfId="0" applyFont="1" applyFill="1" applyBorder="1"/>
    <xf numFmtId="4" fontId="42" fillId="84" borderId="63" xfId="0" applyNumberFormat="1" applyFont="1" applyFill="1" applyBorder="1"/>
    <xf numFmtId="0" fontId="42" fillId="84" borderId="63" xfId="0" applyNumberFormat="1" applyFont="1" applyFill="1" applyBorder="1"/>
    <xf numFmtId="0" fontId="43" fillId="86" borderId="63" xfId="0" applyFont="1" applyFill="1" applyBorder="1"/>
    <xf numFmtId="4" fontId="54" fillId="86" borderId="63" xfId="0" applyNumberFormat="1" applyFont="1" applyFill="1" applyBorder="1"/>
    <xf numFmtId="0" fontId="54" fillId="86" borderId="63" xfId="0" applyFont="1" applyFill="1" applyBorder="1"/>
    <xf numFmtId="4" fontId="43" fillId="86" borderId="63" xfId="0" applyNumberFormat="1" applyFont="1" applyFill="1" applyBorder="1"/>
    <xf numFmtId="0" fontId="43" fillId="86" borderId="63" xfId="0" applyNumberFormat="1" applyFont="1" applyFill="1" applyBorder="1"/>
    <xf numFmtId="0" fontId="44" fillId="88" borderId="63" xfId="0" applyFont="1" applyFill="1" applyBorder="1"/>
    <xf numFmtId="4" fontId="54" fillId="88" borderId="63" xfId="0" applyNumberFormat="1" applyFont="1" applyFill="1" applyBorder="1"/>
    <xf numFmtId="0" fontId="54" fillId="88" borderId="63" xfId="0" applyFont="1" applyFill="1" applyBorder="1"/>
    <xf numFmtId="4" fontId="44" fillId="88" borderId="63" xfId="0" applyNumberFormat="1" applyFont="1" applyFill="1" applyBorder="1"/>
    <xf numFmtId="0" fontId="44" fillId="88" borderId="63" xfId="0" applyNumberFormat="1" applyFont="1" applyFill="1" applyBorder="1"/>
    <xf numFmtId="0" fontId="45" fillId="90" borderId="63" xfId="0" applyFont="1" applyFill="1" applyBorder="1"/>
    <xf numFmtId="4" fontId="54" fillId="90" borderId="63" xfId="0" applyNumberFormat="1" applyFont="1" applyFill="1" applyBorder="1"/>
    <xf numFmtId="0" fontId="54" fillId="90" borderId="63" xfId="0" applyFont="1" applyFill="1" applyBorder="1"/>
    <xf numFmtId="4" fontId="45" fillId="90" borderId="63" xfId="0" applyNumberFormat="1" applyFont="1" applyFill="1" applyBorder="1"/>
    <xf numFmtId="0" fontId="45" fillId="90" borderId="63" xfId="0" applyNumberFormat="1" applyFont="1" applyFill="1" applyBorder="1"/>
    <xf numFmtId="0" fontId="46" fillId="92" borderId="63" xfId="0" applyFont="1" applyFill="1" applyBorder="1"/>
    <xf numFmtId="4" fontId="54" fillId="92" borderId="63" xfId="0" applyNumberFormat="1" applyFont="1" applyFill="1" applyBorder="1"/>
    <xf numFmtId="0" fontId="54" fillId="92" borderId="63" xfId="0" applyFont="1" applyFill="1" applyBorder="1"/>
    <xf numFmtId="4" fontId="46" fillId="92" borderId="63" xfId="0" applyNumberFormat="1" applyFont="1" applyFill="1" applyBorder="1"/>
    <xf numFmtId="0" fontId="46" fillId="92" borderId="63" xfId="0" applyNumberFormat="1" applyFont="1" applyFill="1" applyBorder="1"/>
    <xf numFmtId="0" fontId="47" fillId="94" borderId="63" xfId="0" applyFont="1" applyFill="1" applyBorder="1"/>
    <xf numFmtId="4" fontId="54" fillId="94" borderId="63" xfId="0" applyNumberFormat="1" applyFont="1" applyFill="1" applyBorder="1"/>
    <xf numFmtId="0" fontId="54" fillId="94" borderId="63" xfId="0" applyFont="1" applyFill="1" applyBorder="1"/>
    <xf numFmtId="4" fontId="47" fillId="94" borderId="63" xfId="0" applyNumberFormat="1" applyFont="1" applyFill="1" applyBorder="1"/>
    <xf numFmtId="0" fontId="47" fillId="94" borderId="63" xfId="0" applyNumberFormat="1" applyFont="1" applyFill="1" applyBorder="1"/>
    <xf numFmtId="0" fontId="49" fillId="98" borderId="63" xfId="0" applyFont="1" applyFill="1" applyBorder="1"/>
    <xf numFmtId="4" fontId="49" fillId="98" borderId="63" xfId="0" applyNumberFormat="1" applyFont="1" applyFill="1" applyBorder="1"/>
    <xf numFmtId="0" fontId="49" fillId="98" borderId="6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/>
  </sheetViews>
  <sheetFormatPr defaultRowHeight="15"/>
  <cols>
    <col min="1" max="3" width="7.42578125" bestFit="1" customWidth="1"/>
    <col min="4" max="4" width="45.7109375" bestFit="1" customWidth="1"/>
    <col min="5" max="8" width="7.42578125" bestFit="1" customWidth="1"/>
  </cols>
  <sheetData>
    <row r="1" spans="1:8">
      <c r="A1" s="164" t="s">
        <v>0</v>
      </c>
      <c r="B1" s="164" t="s">
        <v>1</v>
      </c>
      <c r="C1" s="164" t="s">
        <v>2</v>
      </c>
      <c r="D1" s="164" t="s">
        <v>3</v>
      </c>
      <c r="E1" s="164" t="s">
        <v>4</v>
      </c>
      <c r="F1" s="164" t="s">
        <v>5</v>
      </c>
      <c r="G1" s="164" t="s">
        <v>6</v>
      </c>
      <c r="H1" s="164" t="s">
        <v>7</v>
      </c>
    </row>
    <row r="2" spans="1:8">
      <c r="A2" s="163" t="s">
        <v>8</v>
      </c>
      <c r="B2" s="163" t="s">
        <v>8</v>
      </c>
      <c r="C2" s="163" t="s">
        <v>8</v>
      </c>
      <c r="D2" s="163" t="s">
        <v>8</v>
      </c>
      <c r="E2" s="163" t="s">
        <v>8</v>
      </c>
      <c r="F2" s="163" t="s">
        <v>8</v>
      </c>
      <c r="G2" s="163" t="s">
        <v>8</v>
      </c>
      <c r="H2" s="163" t="s">
        <v>8</v>
      </c>
    </row>
    <row r="3" spans="1:8" ht="23.25">
      <c r="A3" s="21" t="s">
        <v>8</v>
      </c>
      <c r="B3" s="22" t="s">
        <v>8</v>
      </c>
      <c r="C3" s="21" t="s">
        <v>8</v>
      </c>
      <c r="D3" s="20" t="s">
        <v>9</v>
      </c>
      <c r="E3" s="21" t="s">
        <v>8</v>
      </c>
      <c r="F3" s="21" t="s">
        <v>8</v>
      </c>
      <c r="G3" s="21" t="s">
        <v>8</v>
      </c>
      <c r="H3" s="21" t="s">
        <v>8</v>
      </c>
    </row>
    <row r="4" spans="1:8">
      <c r="A4" s="163" t="s">
        <v>8</v>
      </c>
      <c r="B4" s="163" t="s">
        <v>8</v>
      </c>
      <c r="C4" s="163" t="s">
        <v>8</v>
      </c>
      <c r="D4" s="163" t="s">
        <v>8</v>
      </c>
      <c r="E4" s="163" t="s">
        <v>8</v>
      </c>
      <c r="F4" s="163" t="s">
        <v>8</v>
      </c>
      <c r="G4" s="163" t="s">
        <v>8</v>
      </c>
      <c r="H4" s="163" t="s">
        <v>8</v>
      </c>
    </row>
    <row r="5" spans="1:8">
      <c r="A5" s="163" t="s">
        <v>8</v>
      </c>
      <c r="B5" s="163" t="s">
        <v>8</v>
      </c>
      <c r="C5" s="163" t="s">
        <v>8</v>
      </c>
      <c r="D5" s="163" t="s">
        <v>8</v>
      </c>
      <c r="E5" s="163" t="s">
        <v>8</v>
      </c>
      <c r="F5" s="163" t="s">
        <v>8</v>
      </c>
      <c r="G5" s="163" t="s">
        <v>8</v>
      </c>
      <c r="H5" s="163" t="s">
        <v>8</v>
      </c>
    </row>
    <row r="6" spans="1:8">
      <c r="A6" s="163" t="s">
        <v>8</v>
      </c>
      <c r="B6" s="163" t="s">
        <v>8</v>
      </c>
      <c r="C6" s="163" t="s">
        <v>8</v>
      </c>
      <c r="D6" s="163" t="s">
        <v>8</v>
      </c>
      <c r="E6" s="163" t="s">
        <v>8</v>
      </c>
      <c r="F6" s="163" t="s">
        <v>8</v>
      </c>
      <c r="G6" s="163" t="s">
        <v>8</v>
      </c>
      <c r="H6" s="163" t="s">
        <v>8</v>
      </c>
    </row>
    <row r="7" spans="1:8">
      <c r="A7" s="163" t="s">
        <v>8</v>
      </c>
      <c r="B7" s="2" t="s">
        <v>10</v>
      </c>
      <c r="C7" s="2"/>
      <c r="D7" s="2"/>
      <c r="E7" s="2"/>
      <c r="F7" s="2"/>
      <c r="G7" s="2"/>
      <c r="H7" s="2"/>
    </row>
    <row r="8" spans="1:8">
      <c r="A8" s="163" t="s">
        <v>8</v>
      </c>
      <c r="B8" s="2"/>
      <c r="C8" s="2"/>
      <c r="D8" s="2"/>
      <c r="E8" s="2"/>
      <c r="F8" s="2"/>
      <c r="G8" s="2"/>
      <c r="H8" s="2"/>
    </row>
    <row r="9" spans="1:8">
      <c r="A9" s="163" t="s">
        <v>8</v>
      </c>
      <c r="B9" s="2"/>
      <c r="C9" s="2"/>
      <c r="D9" s="2"/>
      <c r="E9" s="2"/>
      <c r="F9" s="2"/>
      <c r="G9" s="2"/>
      <c r="H9" s="2"/>
    </row>
    <row r="10" spans="1:8">
      <c r="A10" s="163" t="s">
        <v>8</v>
      </c>
      <c r="B10" s="163" t="s">
        <v>8</v>
      </c>
      <c r="C10" s="163" t="s">
        <v>8</v>
      </c>
      <c r="D10" s="163" t="s">
        <v>8</v>
      </c>
      <c r="E10" s="163" t="s">
        <v>8</v>
      </c>
      <c r="F10" s="163" t="s">
        <v>8</v>
      </c>
      <c r="G10" s="163" t="s">
        <v>8</v>
      </c>
      <c r="H10" s="163" t="s">
        <v>8</v>
      </c>
    </row>
    <row r="11" spans="1:8">
      <c r="A11" s="163" t="s">
        <v>8</v>
      </c>
      <c r="B11" s="1" t="s">
        <v>11</v>
      </c>
      <c r="C11" s="1"/>
      <c r="D11" s="1"/>
      <c r="E11" s="1"/>
      <c r="F11" s="1"/>
      <c r="G11" s="1"/>
      <c r="H11" s="1"/>
    </row>
    <row r="12" spans="1:8">
      <c r="B12" s="1"/>
      <c r="C12" s="1"/>
      <c r="D12" s="1"/>
      <c r="E12" s="1"/>
      <c r="F12" s="1"/>
      <c r="G12" s="1"/>
      <c r="H12" s="1"/>
    </row>
    <row r="13" spans="1:8">
      <c r="B13" s="1"/>
      <c r="C13" s="1"/>
      <c r="D13" s="1"/>
      <c r="E13" s="1"/>
      <c r="F13" s="1"/>
      <c r="G13" s="1"/>
      <c r="H13" s="1"/>
    </row>
    <row r="14" spans="1:8">
      <c r="B14" s="1"/>
      <c r="C14" s="1"/>
      <c r="D14" s="1"/>
      <c r="E14" s="1"/>
      <c r="F14" s="1"/>
      <c r="G14" s="1"/>
      <c r="H14" s="1"/>
    </row>
    <row r="15" spans="1:8">
      <c r="B15" s="1"/>
      <c r="C15" s="1"/>
      <c r="D15" s="1"/>
      <c r="E15" s="1"/>
      <c r="F15" s="1"/>
      <c r="G15" s="1"/>
      <c r="H15" s="1"/>
    </row>
    <row r="16" spans="1:8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/>
      <c r="D20" s="1"/>
      <c r="E20" s="1"/>
      <c r="F20" s="1"/>
      <c r="G20" s="1"/>
      <c r="H20" s="1"/>
    </row>
  </sheetData>
  <mergeCells count="2">
    <mergeCell ref="B7:H9"/>
    <mergeCell ref="B11:H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topLeftCell="A4" workbookViewId="0">
      <selection activeCell="F18" sqref="F18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168.42578125" bestFit="1" customWidth="1"/>
    <col min="5" max="5" width="24.5703125" style="1842" bestFit="1" customWidth="1"/>
    <col min="6" max="6" width="28.425781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24" t="s">
        <v>0</v>
      </c>
      <c r="B1" s="24" t="s">
        <v>1</v>
      </c>
      <c r="C1" s="24" t="s">
        <v>2</v>
      </c>
      <c r="D1" s="24" t="s">
        <v>3</v>
      </c>
      <c r="E1" s="1831" t="s">
        <v>4</v>
      </c>
      <c r="F1" s="24" t="s">
        <v>5</v>
      </c>
      <c r="G1" s="24" t="s">
        <v>6</v>
      </c>
      <c r="H1" s="24" t="s">
        <v>7</v>
      </c>
      <c r="I1" s="24" t="s">
        <v>12</v>
      </c>
      <c r="J1" s="24" t="s">
        <v>13</v>
      </c>
    </row>
    <row r="2" spans="1:10">
      <c r="A2" s="23" t="s">
        <v>8</v>
      </c>
      <c r="B2" s="23" t="s">
        <v>8</v>
      </c>
      <c r="C2" s="23" t="s">
        <v>8</v>
      </c>
      <c r="D2" s="23" t="s">
        <v>8</v>
      </c>
      <c r="E2" s="1831" t="s">
        <v>8</v>
      </c>
      <c r="F2" s="23" t="s">
        <v>8</v>
      </c>
      <c r="G2" s="23" t="s">
        <v>8</v>
      </c>
      <c r="H2" s="23" t="s">
        <v>8</v>
      </c>
      <c r="I2" s="23" t="s">
        <v>8</v>
      </c>
      <c r="J2" s="23" t="s">
        <v>8</v>
      </c>
    </row>
    <row r="3" spans="1:10" ht="15.75" thickBot="1">
      <c r="A3" s="23" t="s">
        <v>8</v>
      </c>
      <c r="B3" s="23" t="s">
        <v>8</v>
      </c>
      <c r="C3" s="23" t="s">
        <v>8</v>
      </c>
      <c r="D3" s="23" t="s">
        <v>8</v>
      </c>
      <c r="E3" s="1831" t="s">
        <v>8</v>
      </c>
      <c r="F3" s="23" t="s">
        <v>8</v>
      </c>
      <c r="G3" s="23" t="s">
        <v>8</v>
      </c>
      <c r="H3" s="23" t="s">
        <v>8</v>
      </c>
      <c r="I3" s="23" t="s">
        <v>8</v>
      </c>
      <c r="J3" s="23" t="s">
        <v>8</v>
      </c>
    </row>
    <row r="4" spans="1:10" ht="16.5" thickTop="1" thickBot="1">
      <c r="A4" s="23" t="s">
        <v>8</v>
      </c>
      <c r="B4" s="23" t="s">
        <v>14</v>
      </c>
      <c r="C4" s="23" t="s">
        <v>8</v>
      </c>
      <c r="D4" s="18" t="s">
        <v>15</v>
      </c>
      <c r="E4" s="1831" t="s">
        <v>16</v>
      </c>
      <c r="F4" s="18" t="s">
        <v>17</v>
      </c>
      <c r="G4" s="23" t="s">
        <v>8</v>
      </c>
      <c r="H4" s="23" t="s">
        <v>8</v>
      </c>
      <c r="I4" s="23" t="s">
        <v>8</v>
      </c>
      <c r="J4" s="23" t="s">
        <v>8</v>
      </c>
    </row>
    <row r="5" spans="1:10" ht="16.5" thickTop="1" thickBot="1">
      <c r="A5" s="23" t="s">
        <v>8</v>
      </c>
      <c r="B5" s="23" t="s">
        <v>8</v>
      </c>
      <c r="C5" s="23" t="s">
        <v>8</v>
      </c>
      <c r="D5" s="23" t="s">
        <v>8</v>
      </c>
      <c r="E5" s="1831" t="s">
        <v>8</v>
      </c>
      <c r="F5" s="23" t="s">
        <v>8</v>
      </c>
      <c r="G5" s="23" t="s">
        <v>8</v>
      </c>
      <c r="H5" s="23" t="s">
        <v>8</v>
      </c>
      <c r="I5" s="23" t="s">
        <v>8</v>
      </c>
      <c r="J5" s="23" t="s">
        <v>8</v>
      </c>
    </row>
    <row r="6" spans="1:10" ht="16.5" thickTop="1" thickBot="1">
      <c r="A6" s="23" t="s">
        <v>8</v>
      </c>
      <c r="B6" s="23" t="s">
        <v>18</v>
      </c>
      <c r="C6" s="23" t="s">
        <v>8</v>
      </c>
      <c r="D6" s="18" t="s">
        <v>19</v>
      </c>
      <c r="E6" s="1831" t="s">
        <v>20</v>
      </c>
      <c r="F6" s="18" t="s">
        <v>21</v>
      </c>
      <c r="G6" s="23" t="s">
        <v>8</v>
      </c>
      <c r="H6" s="23" t="s">
        <v>8</v>
      </c>
      <c r="I6" s="23" t="s">
        <v>8</v>
      </c>
      <c r="J6" s="23" t="s">
        <v>8</v>
      </c>
    </row>
    <row r="7" spans="1:10" ht="16.5" thickTop="1" thickBot="1">
      <c r="A7" s="23" t="s">
        <v>8</v>
      </c>
      <c r="B7" s="23" t="s">
        <v>8</v>
      </c>
      <c r="C7" s="23" t="s">
        <v>8</v>
      </c>
      <c r="D7" s="23" t="s">
        <v>8</v>
      </c>
      <c r="E7" s="1831" t="s">
        <v>8</v>
      </c>
      <c r="F7" s="23" t="s">
        <v>8</v>
      </c>
      <c r="G7" s="23" t="s">
        <v>8</v>
      </c>
      <c r="H7" s="23" t="s">
        <v>8</v>
      </c>
      <c r="I7" s="23" t="s">
        <v>8</v>
      </c>
      <c r="J7" s="23" t="s">
        <v>8</v>
      </c>
    </row>
    <row r="8" spans="1:10" ht="16.5" thickTop="1" thickBot="1">
      <c r="A8" s="23" t="s">
        <v>8</v>
      </c>
      <c r="B8" s="23" t="s">
        <v>22</v>
      </c>
      <c r="C8" s="23" t="s">
        <v>8</v>
      </c>
      <c r="D8" s="18" t="s">
        <v>11</v>
      </c>
      <c r="E8" s="1831" t="s">
        <v>23</v>
      </c>
      <c r="F8" s="18" t="s">
        <v>24</v>
      </c>
      <c r="G8" s="23" t="s">
        <v>8</v>
      </c>
      <c r="H8" s="23" t="s">
        <v>8</v>
      </c>
      <c r="I8" s="23" t="s">
        <v>8</v>
      </c>
      <c r="J8" s="23" t="s">
        <v>8</v>
      </c>
    </row>
    <row r="9" spans="1:10" ht="16.5" thickTop="1" thickBot="1">
      <c r="A9" s="23" t="s">
        <v>8</v>
      </c>
      <c r="B9" s="23" t="s">
        <v>8</v>
      </c>
      <c r="C9" s="23" t="s">
        <v>8</v>
      </c>
      <c r="D9" s="23" t="s">
        <v>8</v>
      </c>
      <c r="E9" s="1831" t="s">
        <v>8</v>
      </c>
      <c r="F9" s="23" t="s">
        <v>8</v>
      </c>
      <c r="G9" s="23" t="s">
        <v>8</v>
      </c>
      <c r="H9" s="23" t="s">
        <v>8</v>
      </c>
      <c r="I9" s="23" t="s">
        <v>8</v>
      </c>
      <c r="J9" s="23" t="s">
        <v>8</v>
      </c>
    </row>
    <row r="10" spans="1:10" ht="16.5" thickTop="1" thickBot="1">
      <c r="A10" s="23" t="s">
        <v>8</v>
      </c>
      <c r="B10" s="23" t="s">
        <v>25</v>
      </c>
      <c r="C10" s="23" t="s">
        <v>8</v>
      </c>
      <c r="D10" s="18" t="s">
        <v>26</v>
      </c>
      <c r="E10" s="1831" t="s">
        <v>8</v>
      </c>
      <c r="F10" s="23" t="s">
        <v>8</v>
      </c>
      <c r="G10" s="23" t="s">
        <v>8</v>
      </c>
      <c r="H10" s="23" t="s">
        <v>8</v>
      </c>
      <c r="I10" s="23" t="s">
        <v>8</v>
      </c>
      <c r="J10" s="23" t="s">
        <v>8</v>
      </c>
    </row>
    <row r="11" spans="1:10" ht="16.5" thickTop="1" thickBot="1">
      <c r="A11" s="23" t="s">
        <v>8</v>
      </c>
      <c r="B11" s="23" t="s">
        <v>8</v>
      </c>
      <c r="C11" s="23" t="s">
        <v>8</v>
      </c>
      <c r="D11" s="23" t="s">
        <v>8</v>
      </c>
      <c r="E11" s="1831" t="s">
        <v>8</v>
      </c>
      <c r="F11" s="23" t="s">
        <v>8</v>
      </c>
      <c r="G11" s="23" t="s">
        <v>8</v>
      </c>
      <c r="H11" s="23" t="s">
        <v>8</v>
      </c>
      <c r="I11" s="23" t="s">
        <v>8</v>
      </c>
      <c r="J11" s="23" t="s">
        <v>8</v>
      </c>
    </row>
    <row r="12" spans="1:10" ht="16.5" thickTop="1" thickBot="1">
      <c r="A12" s="23" t="s">
        <v>8</v>
      </c>
      <c r="B12" s="17" t="s">
        <v>8</v>
      </c>
      <c r="C12" s="16" t="s">
        <v>8</v>
      </c>
      <c r="D12" s="16" t="s">
        <v>8</v>
      </c>
      <c r="E12" s="1832" t="s">
        <v>8</v>
      </c>
      <c r="F12" s="16" t="s">
        <v>8</v>
      </c>
      <c r="G12" s="16" t="s">
        <v>8</v>
      </c>
      <c r="H12" s="15" t="s">
        <v>8</v>
      </c>
      <c r="I12" s="23" t="s">
        <v>8</v>
      </c>
      <c r="J12" s="23" t="s">
        <v>8</v>
      </c>
    </row>
    <row r="13" spans="1:10" ht="16.5" thickTop="1" thickBot="1">
      <c r="A13" s="23" t="s">
        <v>8</v>
      </c>
      <c r="B13" s="14" t="s">
        <v>8</v>
      </c>
      <c r="C13" s="19" t="s">
        <v>27</v>
      </c>
      <c r="D13" s="13" t="s">
        <v>28</v>
      </c>
      <c r="E13" s="1833">
        <v>2718071337.48</v>
      </c>
      <c r="F13" s="13" t="s">
        <v>8</v>
      </c>
      <c r="G13" s="13" t="s">
        <v>8</v>
      </c>
      <c r="H13" s="12" t="s">
        <v>8</v>
      </c>
      <c r="I13" s="23" t="s">
        <v>29</v>
      </c>
      <c r="J13" s="23" t="s">
        <v>8</v>
      </c>
    </row>
    <row r="14" spans="1:10" ht="16.5" thickTop="1" thickBot="1">
      <c r="A14" s="23" t="s">
        <v>8</v>
      </c>
      <c r="B14" s="23" t="s">
        <v>8</v>
      </c>
      <c r="C14" s="23" t="s">
        <v>8</v>
      </c>
      <c r="D14" s="23" t="s">
        <v>8</v>
      </c>
      <c r="E14" s="1831" t="s">
        <v>8</v>
      </c>
      <c r="F14" s="23" t="s">
        <v>8</v>
      </c>
      <c r="G14" s="23" t="s">
        <v>8</v>
      </c>
      <c r="H14" s="23" t="s">
        <v>8</v>
      </c>
      <c r="I14" s="23" t="s">
        <v>8</v>
      </c>
      <c r="J14" s="23" t="s">
        <v>8</v>
      </c>
    </row>
    <row r="15" spans="1:10" ht="16.5" thickTop="1" thickBot="1">
      <c r="A15" s="23" t="s">
        <v>8</v>
      </c>
      <c r="B15" s="18" t="s">
        <v>30</v>
      </c>
      <c r="C15" s="19" t="s">
        <v>31</v>
      </c>
      <c r="D15" s="19" t="s">
        <v>32</v>
      </c>
      <c r="E15" s="1834" t="s">
        <v>33</v>
      </c>
      <c r="F15" s="19" t="s">
        <v>34</v>
      </c>
      <c r="G15" s="19" t="s">
        <v>35</v>
      </c>
      <c r="H15" s="19" t="s">
        <v>36</v>
      </c>
      <c r="I15" s="23" t="s">
        <v>8</v>
      </c>
      <c r="J15" s="23" t="s">
        <v>8</v>
      </c>
    </row>
    <row r="16" spans="1:10" ht="16.5" thickTop="1" thickBot="1">
      <c r="A16" s="23" t="s">
        <v>8</v>
      </c>
      <c r="B16" s="23" t="s">
        <v>8</v>
      </c>
      <c r="C16" s="23" t="s">
        <v>8</v>
      </c>
      <c r="D16" s="23" t="s">
        <v>8</v>
      </c>
      <c r="E16" s="1831" t="s">
        <v>8</v>
      </c>
      <c r="F16" s="23" t="s">
        <v>8</v>
      </c>
      <c r="G16" s="23" t="s">
        <v>8</v>
      </c>
      <c r="H16" s="23" t="s">
        <v>8</v>
      </c>
      <c r="I16" s="23" t="s">
        <v>8</v>
      </c>
      <c r="J16" s="23" t="s">
        <v>8</v>
      </c>
    </row>
    <row r="17" spans="1:10" ht="15.75" thickTop="1">
      <c r="A17" s="23" t="s">
        <v>8</v>
      </c>
      <c r="B17" s="3" t="s">
        <v>8</v>
      </c>
      <c r="C17" s="3" t="s">
        <v>8</v>
      </c>
      <c r="D17" s="172" t="s">
        <v>37</v>
      </c>
      <c r="E17" s="1835" t="s">
        <v>8</v>
      </c>
      <c r="F17" s="3" t="s">
        <v>8</v>
      </c>
      <c r="G17" s="3" t="s">
        <v>8</v>
      </c>
      <c r="H17" s="15" t="s">
        <v>8</v>
      </c>
      <c r="I17" s="23" t="s">
        <v>8</v>
      </c>
      <c r="J17" s="23" t="s">
        <v>8</v>
      </c>
    </row>
    <row r="18" spans="1:10">
      <c r="A18" s="23" t="s">
        <v>8</v>
      </c>
      <c r="B18" s="168">
        <v>1</v>
      </c>
      <c r="C18" s="170" t="s">
        <v>38</v>
      </c>
      <c r="D18" s="170" t="s">
        <v>39</v>
      </c>
      <c r="E18" s="1830">
        <v>8777458.3800000008</v>
      </c>
      <c r="F18" s="1843" t="s">
        <v>40</v>
      </c>
      <c r="G18" s="174">
        <v>3</v>
      </c>
      <c r="H18" s="7" t="s">
        <v>41</v>
      </c>
      <c r="I18" s="23" t="s">
        <v>8</v>
      </c>
      <c r="J18" s="23" t="s">
        <v>8</v>
      </c>
    </row>
    <row r="19" spans="1:10">
      <c r="A19" s="23" t="s">
        <v>8</v>
      </c>
      <c r="B19" s="168">
        <v>2</v>
      </c>
      <c r="C19" s="170" t="s">
        <v>38</v>
      </c>
      <c r="D19" s="170" t="s">
        <v>39</v>
      </c>
      <c r="E19" s="1830">
        <v>29999941.620000001</v>
      </c>
      <c r="F19" s="170" t="s">
        <v>40</v>
      </c>
      <c r="G19" s="174">
        <v>3</v>
      </c>
      <c r="H19" s="7" t="s">
        <v>41</v>
      </c>
      <c r="I19" s="23" t="s">
        <v>8</v>
      </c>
      <c r="J19" s="23" t="s">
        <v>8</v>
      </c>
    </row>
    <row r="20" spans="1:10">
      <c r="A20" s="23" t="s">
        <v>8</v>
      </c>
      <c r="B20" s="168">
        <v>3</v>
      </c>
      <c r="C20" s="170" t="s">
        <v>38</v>
      </c>
      <c r="D20" s="170" t="s">
        <v>42</v>
      </c>
      <c r="E20" s="1830">
        <v>8757105.3900000006</v>
      </c>
      <c r="F20" s="170" t="s">
        <v>43</v>
      </c>
      <c r="G20" s="174">
        <v>3</v>
      </c>
      <c r="H20" s="7" t="s">
        <v>41</v>
      </c>
      <c r="I20" s="23" t="s">
        <v>8</v>
      </c>
      <c r="J20" s="23" t="s">
        <v>8</v>
      </c>
    </row>
    <row r="21" spans="1:10">
      <c r="A21" s="23" t="s">
        <v>8</v>
      </c>
      <c r="B21" s="168">
        <v>4</v>
      </c>
      <c r="C21" s="170" t="s">
        <v>38</v>
      </c>
      <c r="D21" s="170" t="s">
        <v>42</v>
      </c>
      <c r="E21" s="1830">
        <v>29999894.609999999</v>
      </c>
      <c r="F21" s="170" t="s">
        <v>43</v>
      </c>
      <c r="G21" s="174">
        <v>3</v>
      </c>
      <c r="H21" s="7" t="s">
        <v>41</v>
      </c>
      <c r="I21" s="23" t="s">
        <v>8</v>
      </c>
      <c r="J21" s="23" t="s">
        <v>8</v>
      </c>
    </row>
    <row r="22" spans="1:10">
      <c r="A22" s="23" t="s">
        <v>8</v>
      </c>
      <c r="B22" s="168">
        <v>5</v>
      </c>
      <c r="C22" s="170" t="s">
        <v>38</v>
      </c>
      <c r="D22" s="170" t="s">
        <v>44</v>
      </c>
      <c r="E22" s="1830">
        <v>14471096.189999999</v>
      </c>
      <c r="F22" s="170" t="s">
        <v>45</v>
      </c>
      <c r="G22" s="174">
        <v>3</v>
      </c>
      <c r="H22" s="7" t="s">
        <v>41</v>
      </c>
      <c r="I22" s="23" t="s">
        <v>8</v>
      </c>
      <c r="J22" s="23" t="s">
        <v>8</v>
      </c>
    </row>
    <row r="23" spans="1:10">
      <c r="A23" s="23" t="s">
        <v>8</v>
      </c>
      <c r="B23" s="168">
        <v>6</v>
      </c>
      <c r="C23" s="170" t="s">
        <v>38</v>
      </c>
      <c r="D23" s="170" t="s">
        <v>44</v>
      </c>
      <c r="E23" s="1830">
        <v>49999903.810000002</v>
      </c>
      <c r="F23" s="170" t="s">
        <v>45</v>
      </c>
      <c r="G23" s="174">
        <v>3</v>
      </c>
      <c r="H23" s="7" t="s">
        <v>41</v>
      </c>
      <c r="I23" s="23" t="s">
        <v>8</v>
      </c>
      <c r="J23" s="23" t="s">
        <v>8</v>
      </c>
    </row>
    <row r="24" spans="1:10">
      <c r="A24" s="23" t="s">
        <v>8</v>
      </c>
      <c r="B24" s="168">
        <v>7</v>
      </c>
      <c r="C24" s="170" t="s">
        <v>38</v>
      </c>
      <c r="D24" s="170" t="s">
        <v>46</v>
      </c>
      <c r="E24" s="1830">
        <v>42226576.700000003</v>
      </c>
      <c r="F24" s="170" t="s">
        <v>47</v>
      </c>
      <c r="G24" s="174">
        <v>3</v>
      </c>
      <c r="H24" s="7" t="s">
        <v>41</v>
      </c>
      <c r="I24" s="23" t="s">
        <v>8</v>
      </c>
      <c r="J24" s="23" t="s">
        <v>8</v>
      </c>
    </row>
    <row r="25" spans="1:10">
      <c r="A25" s="23" t="s">
        <v>8</v>
      </c>
      <c r="B25" s="168">
        <v>8</v>
      </c>
      <c r="C25" s="170" t="s">
        <v>38</v>
      </c>
      <c r="D25" s="170" t="s">
        <v>46</v>
      </c>
      <c r="E25" s="1830">
        <v>149984999.28999999</v>
      </c>
      <c r="F25" s="170" t="s">
        <v>47</v>
      </c>
      <c r="G25" s="174">
        <v>3</v>
      </c>
      <c r="H25" s="7" t="s">
        <v>41</v>
      </c>
      <c r="I25" s="23" t="s">
        <v>8</v>
      </c>
      <c r="J25" s="23" t="s">
        <v>8</v>
      </c>
    </row>
    <row r="26" spans="1:10">
      <c r="A26" s="23" t="s">
        <v>8</v>
      </c>
      <c r="B26" s="168">
        <v>9</v>
      </c>
      <c r="C26" s="170" t="s">
        <v>48</v>
      </c>
      <c r="D26" s="170" t="s">
        <v>49</v>
      </c>
      <c r="E26" s="1830">
        <v>151661.14000000001</v>
      </c>
      <c r="F26" s="170" t="s">
        <v>50</v>
      </c>
      <c r="G26" s="174">
        <v>1</v>
      </c>
      <c r="H26" s="7" t="s">
        <v>41</v>
      </c>
      <c r="I26" s="23" t="s">
        <v>8</v>
      </c>
      <c r="J26" s="23" t="s">
        <v>8</v>
      </c>
    </row>
    <row r="27" spans="1:10">
      <c r="A27" s="23" t="s">
        <v>8</v>
      </c>
      <c r="B27" s="168" t="s">
        <v>8</v>
      </c>
      <c r="C27" s="170" t="s">
        <v>8</v>
      </c>
      <c r="D27" s="170" t="s">
        <v>8</v>
      </c>
      <c r="E27" s="1830" t="s">
        <v>8</v>
      </c>
      <c r="F27" s="170" t="s">
        <v>8</v>
      </c>
      <c r="G27" s="174" t="s">
        <v>8</v>
      </c>
      <c r="H27" s="7" t="s">
        <v>8</v>
      </c>
      <c r="I27" s="23" t="s">
        <v>8</v>
      </c>
      <c r="J27" s="23" t="s">
        <v>8</v>
      </c>
    </row>
    <row r="28" spans="1:10" ht="15.75" thickBot="1">
      <c r="A28" s="23" t="s">
        <v>8</v>
      </c>
      <c r="B28" s="169" t="s">
        <v>8</v>
      </c>
      <c r="C28" s="171" t="s">
        <v>8</v>
      </c>
      <c r="D28" s="173" t="s">
        <v>51</v>
      </c>
      <c r="E28" s="1836">
        <f>SUM($E$18:$E$27)</f>
        <v>334368637.13</v>
      </c>
      <c r="F28" s="171" t="s">
        <v>8</v>
      </c>
      <c r="G28" s="175" t="s">
        <v>8</v>
      </c>
      <c r="H28" s="12" t="s">
        <v>8</v>
      </c>
      <c r="I28" s="23" t="s">
        <v>8</v>
      </c>
      <c r="J28" s="23" t="s">
        <v>8</v>
      </c>
    </row>
    <row r="29" spans="1:10" ht="15.75" thickTop="1">
      <c r="A29" s="23" t="s">
        <v>8</v>
      </c>
      <c r="B29" s="10" t="s">
        <v>8</v>
      </c>
      <c r="C29" s="23" t="s">
        <v>8</v>
      </c>
      <c r="D29" s="23" t="s">
        <v>8</v>
      </c>
      <c r="E29" s="1837" t="s">
        <v>8</v>
      </c>
      <c r="F29" s="23" t="s">
        <v>8</v>
      </c>
      <c r="G29" s="11" t="s">
        <v>8</v>
      </c>
      <c r="H29" s="23" t="s">
        <v>8</v>
      </c>
      <c r="I29" s="23" t="s">
        <v>8</v>
      </c>
      <c r="J29" s="23" t="s">
        <v>8</v>
      </c>
    </row>
    <row r="30" spans="1:10" ht="15.75" thickBot="1">
      <c r="A30" s="23" t="s">
        <v>8</v>
      </c>
      <c r="B30" s="10" t="s">
        <v>8</v>
      </c>
      <c r="C30" s="23" t="s">
        <v>8</v>
      </c>
      <c r="D30" s="23" t="s">
        <v>8</v>
      </c>
      <c r="E30" s="1837" t="s">
        <v>8</v>
      </c>
      <c r="F30" s="23" t="s">
        <v>8</v>
      </c>
      <c r="G30" s="11" t="s">
        <v>8</v>
      </c>
      <c r="H30" s="23" t="s">
        <v>8</v>
      </c>
      <c r="I30" s="23" t="s">
        <v>8</v>
      </c>
      <c r="J30" s="23" t="s">
        <v>8</v>
      </c>
    </row>
    <row r="31" spans="1:10" ht="15.75" thickTop="1">
      <c r="A31" s="23" t="s">
        <v>8</v>
      </c>
      <c r="B31" s="178" t="s">
        <v>8</v>
      </c>
      <c r="C31" s="3" t="s">
        <v>8</v>
      </c>
      <c r="D31" s="172" t="s">
        <v>52</v>
      </c>
      <c r="E31" s="1838" t="s">
        <v>8</v>
      </c>
      <c r="F31" s="3" t="s">
        <v>8</v>
      </c>
      <c r="G31" s="179" t="s">
        <v>8</v>
      </c>
      <c r="H31" s="15" t="s">
        <v>8</v>
      </c>
      <c r="I31" s="23" t="s">
        <v>8</v>
      </c>
      <c r="J31" s="23" t="s">
        <v>8</v>
      </c>
    </row>
    <row r="32" spans="1:10">
      <c r="A32" s="23" t="s">
        <v>8</v>
      </c>
      <c r="B32" s="168">
        <v>1</v>
      </c>
      <c r="C32" s="170" t="s">
        <v>38</v>
      </c>
      <c r="D32" s="170" t="s">
        <v>53</v>
      </c>
      <c r="E32" s="1830">
        <v>62474150.07</v>
      </c>
      <c r="F32" s="170" t="s">
        <v>54</v>
      </c>
      <c r="G32" s="174">
        <v>3</v>
      </c>
      <c r="H32" s="7" t="s">
        <v>55</v>
      </c>
      <c r="I32" s="23" t="s">
        <v>8</v>
      </c>
      <c r="J32" s="23" t="s">
        <v>8</v>
      </c>
    </row>
    <row r="33" spans="1:10">
      <c r="A33" s="23" t="s">
        <v>8</v>
      </c>
      <c r="B33" s="168">
        <v>2</v>
      </c>
      <c r="C33" s="170" t="s">
        <v>56</v>
      </c>
      <c r="D33" s="170" t="s">
        <v>57</v>
      </c>
      <c r="E33" s="1830">
        <v>679018.92</v>
      </c>
      <c r="F33" s="170" t="s">
        <v>58</v>
      </c>
      <c r="G33" s="174">
        <v>2</v>
      </c>
      <c r="H33" s="7" t="s">
        <v>55</v>
      </c>
      <c r="I33" s="23" t="s">
        <v>8</v>
      </c>
      <c r="J33" s="23" t="s">
        <v>8</v>
      </c>
    </row>
    <row r="34" spans="1:10">
      <c r="A34" s="23" t="s">
        <v>8</v>
      </c>
      <c r="B34" s="168">
        <v>3</v>
      </c>
      <c r="C34" s="170" t="s">
        <v>56</v>
      </c>
      <c r="D34" s="170" t="s">
        <v>59</v>
      </c>
      <c r="E34" s="1830">
        <v>175565.37</v>
      </c>
      <c r="F34" s="170" t="s">
        <v>60</v>
      </c>
      <c r="G34" s="174">
        <v>2</v>
      </c>
      <c r="H34" s="7" t="s">
        <v>55</v>
      </c>
      <c r="I34" s="23" t="s">
        <v>8</v>
      </c>
      <c r="J34" s="23" t="s">
        <v>8</v>
      </c>
    </row>
    <row r="35" spans="1:10">
      <c r="A35" s="23" t="s">
        <v>8</v>
      </c>
      <c r="B35" s="168">
        <v>4</v>
      </c>
      <c r="C35" s="170" t="s">
        <v>48</v>
      </c>
      <c r="D35" s="170" t="s">
        <v>61</v>
      </c>
      <c r="E35" s="1830">
        <v>80115.520000000004</v>
      </c>
      <c r="F35" s="170" t="s">
        <v>62</v>
      </c>
      <c r="G35" s="174">
        <v>1</v>
      </c>
      <c r="H35" s="7" t="s">
        <v>55</v>
      </c>
      <c r="I35" s="23" t="s">
        <v>8</v>
      </c>
      <c r="J35" s="23" t="s">
        <v>8</v>
      </c>
    </row>
    <row r="36" spans="1:10">
      <c r="A36" s="23" t="s">
        <v>8</v>
      </c>
      <c r="B36" s="168">
        <v>5</v>
      </c>
      <c r="C36" s="170" t="s">
        <v>27</v>
      </c>
      <c r="D36" s="170" t="s">
        <v>63</v>
      </c>
      <c r="E36" s="1830">
        <v>7120821.9199999999</v>
      </c>
      <c r="F36" s="170" t="s">
        <v>64</v>
      </c>
      <c r="G36" s="174">
        <v>0</v>
      </c>
      <c r="H36" s="7" t="s">
        <v>55</v>
      </c>
      <c r="I36" s="23" t="s">
        <v>8</v>
      </c>
      <c r="J36" s="23" t="s">
        <v>8</v>
      </c>
    </row>
    <row r="37" spans="1:10">
      <c r="A37" s="23" t="s">
        <v>8</v>
      </c>
      <c r="B37" s="168">
        <v>6</v>
      </c>
      <c r="C37" s="170" t="s">
        <v>27</v>
      </c>
      <c r="D37" s="170" t="s">
        <v>65</v>
      </c>
      <c r="E37" s="1830">
        <v>3639615.32</v>
      </c>
      <c r="F37" s="170" t="s">
        <v>66</v>
      </c>
      <c r="G37" s="174">
        <v>0</v>
      </c>
      <c r="H37" s="7" t="s">
        <v>55</v>
      </c>
      <c r="I37" s="23" t="s">
        <v>8</v>
      </c>
      <c r="J37" s="23" t="s">
        <v>8</v>
      </c>
    </row>
    <row r="38" spans="1:10">
      <c r="A38" s="23" t="s">
        <v>8</v>
      </c>
      <c r="B38" s="168">
        <v>7</v>
      </c>
      <c r="C38" s="170" t="s">
        <v>27</v>
      </c>
      <c r="D38" s="170" t="s">
        <v>67</v>
      </c>
      <c r="E38" s="1830">
        <v>1455846.5</v>
      </c>
      <c r="F38" s="170" t="s">
        <v>68</v>
      </c>
      <c r="G38" s="174">
        <v>0</v>
      </c>
      <c r="H38" s="7" t="s">
        <v>55</v>
      </c>
      <c r="I38" s="23" t="s">
        <v>8</v>
      </c>
      <c r="J38" s="23" t="s">
        <v>8</v>
      </c>
    </row>
    <row r="39" spans="1:10">
      <c r="A39" s="23" t="s">
        <v>8</v>
      </c>
      <c r="B39" s="168">
        <v>8</v>
      </c>
      <c r="C39" s="170" t="s">
        <v>27</v>
      </c>
      <c r="D39" s="170" t="s">
        <v>69</v>
      </c>
      <c r="E39" s="1830">
        <v>935901.32</v>
      </c>
      <c r="F39" s="170" t="s">
        <v>70</v>
      </c>
      <c r="G39" s="174">
        <v>0</v>
      </c>
      <c r="H39" s="7" t="s">
        <v>55</v>
      </c>
      <c r="I39" s="23" t="s">
        <v>8</v>
      </c>
      <c r="J39" s="23" t="s">
        <v>8</v>
      </c>
    </row>
    <row r="40" spans="1:10">
      <c r="A40" s="23" t="s">
        <v>8</v>
      </c>
      <c r="B40" s="168">
        <v>9</v>
      </c>
      <c r="C40" s="170" t="s">
        <v>27</v>
      </c>
      <c r="D40" s="170" t="s">
        <v>71</v>
      </c>
      <c r="E40" s="1830">
        <v>7488523.9199999999</v>
      </c>
      <c r="F40" s="170" t="s">
        <v>72</v>
      </c>
      <c r="G40" s="174">
        <v>0</v>
      </c>
      <c r="H40" s="7" t="s">
        <v>55</v>
      </c>
      <c r="I40" s="23" t="s">
        <v>8</v>
      </c>
      <c r="J40" s="23" t="s">
        <v>8</v>
      </c>
    </row>
    <row r="41" spans="1:10">
      <c r="A41" s="23" t="s">
        <v>8</v>
      </c>
      <c r="B41" s="168">
        <v>10</v>
      </c>
      <c r="C41" s="170" t="s">
        <v>27</v>
      </c>
      <c r="D41" s="170" t="s">
        <v>73</v>
      </c>
      <c r="E41" s="1830">
        <v>1503001.72</v>
      </c>
      <c r="F41" s="170" t="s">
        <v>74</v>
      </c>
      <c r="G41" s="174">
        <v>0</v>
      </c>
      <c r="H41" s="7" t="s">
        <v>55</v>
      </c>
      <c r="I41" s="23" t="s">
        <v>8</v>
      </c>
      <c r="J41" s="23" t="s">
        <v>8</v>
      </c>
    </row>
    <row r="42" spans="1:10">
      <c r="A42" s="23" t="s">
        <v>8</v>
      </c>
      <c r="B42" s="168">
        <v>11</v>
      </c>
      <c r="C42" s="170" t="s">
        <v>27</v>
      </c>
      <c r="D42" s="170" t="s">
        <v>75</v>
      </c>
      <c r="E42" s="1830">
        <v>3814249.12</v>
      </c>
      <c r="F42" s="170" t="s">
        <v>76</v>
      </c>
      <c r="G42" s="174">
        <v>0</v>
      </c>
      <c r="H42" s="7" t="s">
        <v>55</v>
      </c>
      <c r="I42" s="23" t="s">
        <v>8</v>
      </c>
      <c r="J42" s="23" t="s">
        <v>8</v>
      </c>
    </row>
    <row r="43" spans="1:10">
      <c r="A43" s="23" t="s">
        <v>8</v>
      </c>
      <c r="B43" s="168">
        <v>12</v>
      </c>
      <c r="C43" s="170" t="s">
        <v>27</v>
      </c>
      <c r="D43" s="170" t="s">
        <v>77</v>
      </c>
      <c r="E43" s="1830">
        <v>1401529.71</v>
      </c>
      <c r="F43" s="170" t="s">
        <v>78</v>
      </c>
      <c r="G43" s="174">
        <v>0</v>
      </c>
      <c r="H43" s="7" t="s">
        <v>55</v>
      </c>
      <c r="I43" s="23" t="s">
        <v>8</v>
      </c>
      <c r="J43" s="23" t="s">
        <v>8</v>
      </c>
    </row>
    <row r="44" spans="1:10">
      <c r="A44" s="23" t="s">
        <v>8</v>
      </c>
      <c r="B44" s="168">
        <v>13</v>
      </c>
      <c r="C44" s="170" t="s">
        <v>27</v>
      </c>
      <c r="D44" s="170" t="s">
        <v>79</v>
      </c>
      <c r="E44" s="1830">
        <v>130410.18</v>
      </c>
      <c r="F44" s="170" t="s">
        <v>80</v>
      </c>
      <c r="G44" s="174">
        <v>0</v>
      </c>
      <c r="H44" s="7" t="s">
        <v>55</v>
      </c>
      <c r="I44" s="23" t="s">
        <v>8</v>
      </c>
      <c r="J44" s="23" t="s">
        <v>8</v>
      </c>
    </row>
    <row r="45" spans="1:10">
      <c r="A45" s="23" t="s">
        <v>8</v>
      </c>
      <c r="B45" s="168">
        <v>14</v>
      </c>
      <c r="C45" s="170" t="s">
        <v>27</v>
      </c>
      <c r="D45" s="170" t="s">
        <v>81</v>
      </c>
      <c r="E45" s="1830">
        <v>33360000</v>
      </c>
      <c r="F45" s="170" t="s">
        <v>82</v>
      </c>
      <c r="G45" s="174">
        <v>0</v>
      </c>
      <c r="H45" s="7" t="s">
        <v>55</v>
      </c>
      <c r="I45" s="23" t="s">
        <v>8</v>
      </c>
      <c r="J45" s="23" t="s">
        <v>8</v>
      </c>
    </row>
    <row r="46" spans="1:10">
      <c r="A46" s="23" t="s">
        <v>8</v>
      </c>
      <c r="B46" s="168">
        <v>15</v>
      </c>
      <c r="C46" s="170" t="s">
        <v>27</v>
      </c>
      <c r="D46" s="170" t="s">
        <v>83</v>
      </c>
      <c r="E46" s="1830">
        <v>1127638</v>
      </c>
      <c r="F46" s="170" t="s">
        <v>84</v>
      </c>
      <c r="G46" s="174">
        <v>0</v>
      </c>
      <c r="H46" s="7" t="s">
        <v>55</v>
      </c>
      <c r="I46" s="23" t="s">
        <v>8</v>
      </c>
      <c r="J46" s="23" t="s">
        <v>8</v>
      </c>
    </row>
    <row r="47" spans="1:10">
      <c r="A47" s="23" t="s">
        <v>8</v>
      </c>
      <c r="B47" s="168" t="s">
        <v>8</v>
      </c>
      <c r="C47" s="170" t="s">
        <v>8</v>
      </c>
      <c r="D47" s="170" t="s">
        <v>8</v>
      </c>
      <c r="E47" s="1830" t="s">
        <v>8</v>
      </c>
      <c r="F47" s="170" t="s">
        <v>8</v>
      </c>
      <c r="G47" s="174" t="s">
        <v>8</v>
      </c>
      <c r="H47" s="7" t="s">
        <v>8</v>
      </c>
      <c r="I47" s="23" t="s">
        <v>8</v>
      </c>
      <c r="J47" s="23" t="s">
        <v>8</v>
      </c>
    </row>
    <row r="48" spans="1:10" ht="15.75" thickBot="1">
      <c r="A48" s="23" t="s">
        <v>8</v>
      </c>
      <c r="B48" s="169" t="s">
        <v>8</v>
      </c>
      <c r="C48" s="171" t="s">
        <v>8</v>
      </c>
      <c r="D48" s="173" t="s">
        <v>51</v>
      </c>
      <c r="E48" s="1836">
        <f>SUM($E$32:$E$47)</f>
        <v>125386387.58999999</v>
      </c>
      <c r="F48" s="171" t="s">
        <v>8</v>
      </c>
      <c r="G48" s="175" t="s">
        <v>8</v>
      </c>
      <c r="H48" s="12" t="s">
        <v>8</v>
      </c>
      <c r="I48" s="23" t="s">
        <v>8</v>
      </c>
      <c r="J48" s="23" t="s">
        <v>8</v>
      </c>
    </row>
    <row r="49" spans="1:10" ht="15.75" thickTop="1">
      <c r="A49" s="23" t="s">
        <v>8</v>
      </c>
      <c r="B49" s="10" t="s">
        <v>8</v>
      </c>
      <c r="C49" s="23" t="s">
        <v>8</v>
      </c>
      <c r="D49" s="23" t="s">
        <v>8</v>
      </c>
      <c r="E49" s="1837" t="s">
        <v>8</v>
      </c>
      <c r="F49" s="23" t="s">
        <v>8</v>
      </c>
      <c r="G49" s="11" t="s">
        <v>8</v>
      </c>
      <c r="H49" s="23" t="s">
        <v>8</v>
      </c>
      <c r="I49" s="23" t="s">
        <v>8</v>
      </c>
      <c r="J49" s="23" t="s">
        <v>8</v>
      </c>
    </row>
    <row r="50" spans="1:10" ht="15.75" thickBot="1">
      <c r="A50" s="23" t="s">
        <v>8</v>
      </c>
      <c r="B50" s="10" t="s">
        <v>8</v>
      </c>
      <c r="C50" s="23" t="s">
        <v>8</v>
      </c>
      <c r="D50" s="23" t="s">
        <v>8</v>
      </c>
      <c r="E50" s="1837" t="s">
        <v>8</v>
      </c>
      <c r="F50" s="23" t="s">
        <v>8</v>
      </c>
      <c r="G50" s="11" t="s">
        <v>8</v>
      </c>
      <c r="H50" s="23" t="s">
        <v>8</v>
      </c>
      <c r="I50" s="23" t="s">
        <v>8</v>
      </c>
      <c r="J50" s="23" t="s">
        <v>8</v>
      </c>
    </row>
    <row r="51" spans="1:10" ht="15.75" thickTop="1">
      <c r="A51" s="23" t="s">
        <v>8</v>
      </c>
      <c r="B51" s="178" t="s">
        <v>8</v>
      </c>
      <c r="C51" s="3" t="s">
        <v>8</v>
      </c>
      <c r="D51" s="172" t="s">
        <v>85</v>
      </c>
      <c r="E51" s="1838" t="s">
        <v>8</v>
      </c>
      <c r="F51" s="3" t="s">
        <v>8</v>
      </c>
      <c r="G51" s="179" t="s">
        <v>8</v>
      </c>
      <c r="H51" s="15" t="s">
        <v>8</v>
      </c>
      <c r="I51" s="23" t="s">
        <v>8</v>
      </c>
      <c r="J51" s="23" t="s">
        <v>8</v>
      </c>
    </row>
    <row r="52" spans="1:10">
      <c r="A52" s="23" t="s">
        <v>8</v>
      </c>
      <c r="B52" s="168">
        <v>1</v>
      </c>
      <c r="C52" s="170" t="s">
        <v>38</v>
      </c>
      <c r="D52" s="170" t="s">
        <v>86</v>
      </c>
      <c r="E52" s="1830">
        <v>333538868</v>
      </c>
      <c r="F52" s="170" t="s">
        <v>87</v>
      </c>
      <c r="G52" s="174">
        <v>3</v>
      </c>
      <c r="H52" s="7" t="s">
        <v>88</v>
      </c>
      <c r="I52" s="23" t="s">
        <v>8</v>
      </c>
      <c r="J52" s="23" t="s">
        <v>8</v>
      </c>
    </row>
    <row r="53" spans="1:10">
      <c r="A53" s="23" t="s">
        <v>8</v>
      </c>
      <c r="B53" s="168">
        <v>2</v>
      </c>
      <c r="C53" s="170" t="s">
        <v>27</v>
      </c>
      <c r="D53" s="170" t="s">
        <v>89</v>
      </c>
      <c r="E53" s="1830">
        <v>3988</v>
      </c>
      <c r="F53" s="170" t="s">
        <v>90</v>
      </c>
      <c r="G53" s="174">
        <v>0</v>
      </c>
      <c r="H53" s="7" t="s">
        <v>88</v>
      </c>
      <c r="I53" s="23" t="s">
        <v>8</v>
      </c>
      <c r="J53" s="23" t="s">
        <v>8</v>
      </c>
    </row>
    <row r="54" spans="1:10">
      <c r="A54" s="23" t="s">
        <v>8</v>
      </c>
      <c r="B54" s="168">
        <v>3</v>
      </c>
      <c r="C54" s="170" t="s">
        <v>27</v>
      </c>
      <c r="D54" s="170" t="s">
        <v>91</v>
      </c>
      <c r="E54" s="1830">
        <v>194997</v>
      </c>
      <c r="F54" s="170" t="s">
        <v>92</v>
      </c>
      <c r="G54" s="174">
        <v>0</v>
      </c>
      <c r="H54" s="7" t="s">
        <v>88</v>
      </c>
      <c r="I54" s="23" t="s">
        <v>8</v>
      </c>
      <c r="J54" s="23" t="s">
        <v>8</v>
      </c>
    </row>
    <row r="55" spans="1:10">
      <c r="A55" s="23" t="s">
        <v>8</v>
      </c>
      <c r="B55" s="168">
        <v>4</v>
      </c>
      <c r="C55" s="170" t="s">
        <v>27</v>
      </c>
      <c r="D55" s="170" t="s">
        <v>93</v>
      </c>
      <c r="E55" s="1830">
        <v>33403.32</v>
      </c>
      <c r="F55" s="170" t="s">
        <v>94</v>
      </c>
      <c r="G55" s="174">
        <v>0</v>
      </c>
      <c r="H55" s="7" t="s">
        <v>88</v>
      </c>
      <c r="I55" s="23" t="s">
        <v>8</v>
      </c>
      <c r="J55" s="23" t="s">
        <v>8</v>
      </c>
    </row>
    <row r="56" spans="1:10">
      <c r="A56" s="23" t="s">
        <v>8</v>
      </c>
      <c r="B56" s="168" t="s">
        <v>8</v>
      </c>
      <c r="C56" s="170" t="s">
        <v>8</v>
      </c>
      <c r="D56" s="170" t="s">
        <v>8</v>
      </c>
      <c r="E56" s="1830" t="s">
        <v>8</v>
      </c>
      <c r="F56" s="170" t="s">
        <v>8</v>
      </c>
      <c r="G56" s="174" t="s">
        <v>8</v>
      </c>
      <c r="H56" s="7" t="s">
        <v>8</v>
      </c>
      <c r="I56" s="23" t="s">
        <v>8</v>
      </c>
      <c r="J56" s="23" t="s">
        <v>8</v>
      </c>
    </row>
    <row r="57" spans="1:10" ht="15.75" thickBot="1">
      <c r="A57" s="23" t="s">
        <v>8</v>
      </c>
      <c r="B57" s="169" t="s">
        <v>8</v>
      </c>
      <c r="C57" s="171" t="s">
        <v>8</v>
      </c>
      <c r="D57" s="173" t="s">
        <v>51</v>
      </c>
      <c r="E57" s="1836">
        <f>SUM($E$52:$E$56)</f>
        <v>333771256.31999999</v>
      </c>
      <c r="F57" s="171" t="s">
        <v>8</v>
      </c>
      <c r="G57" s="175" t="s">
        <v>8</v>
      </c>
      <c r="H57" s="12" t="s">
        <v>8</v>
      </c>
      <c r="I57" s="23" t="s">
        <v>8</v>
      </c>
      <c r="J57" s="23" t="s">
        <v>8</v>
      </c>
    </row>
    <row r="58" spans="1:10" ht="15.75" thickTop="1">
      <c r="A58" s="23" t="s">
        <v>8</v>
      </c>
      <c r="B58" s="10" t="s">
        <v>8</v>
      </c>
      <c r="C58" s="23" t="s">
        <v>8</v>
      </c>
      <c r="D58" s="23" t="s">
        <v>8</v>
      </c>
      <c r="E58" s="1837" t="s">
        <v>8</v>
      </c>
      <c r="F58" s="23" t="s">
        <v>8</v>
      </c>
      <c r="G58" s="11" t="s">
        <v>8</v>
      </c>
      <c r="H58" s="23" t="s">
        <v>8</v>
      </c>
      <c r="I58" s="23" t="s">
        <v>8</v>
      </c>
      <c r="J58" s="23" t="s">
        <v>8</v>
      </c>
    </row>
    <row r="59" spans="1:10" ht="15.75" thickBot="1">
      <c r="A59" s="23" t="s">
        <v>8</v>
      </c>
      <c r="B59" s="10" t="s">
        <v>8</v>
      </c>
      <c r="C59" s="23" t="s">
        <v>8</v>
      </c>
      <c r="D59" s="23" t="s">
        <v>8</v>
      </c>
      <c r="E59" s="1837" t="s">
        <v>8</v>
      </c>
      <c r="F59" s="23" t="s">
        <v>8</v>
      </c>
      <c r="G59" s="11" t="s">
        <v>8</v>
      </c>
      <c r="H59" s="23" t="s">
        <v>8</v>
      </c>
      <c r="I59" s="23" t="s">
        <v>8</v>
      </c>
      <c r="J59" s="23" t="s">
        <v>8</v>
      </c>
    </row>
    <row r="60" spans="1:10" ht="15.75" thickTop="1">
      <c r="A60" s="23" t="s">
        <v>8</v>
      </c>
      <c r="B60" s="178" t="s">
        <v>8</v>
      </c>
      <c r="C60" s="3" t="s">
        <v>8</v>
      </c>
      <c r="D60" s="172" t="s">
        <v>95</v>
      </c>
      <c r="E60" s="1838" t="s">
        <v>8</v>
      </c>
      <c r="F60" s="3" t="s">
        <v>8</v>
      </c>
      <c r="G60" s="179" t="s">
        <v>8</v>
      </c>
      <c r="H60" s="15" t="s">
        <v>8</v>
      </c>
      <c r="I60" s="23" t="s">
        <v>8</v>
      </c>
      <c r="J60" s="23" t="s">
        <v>8</v>
      </c>
    </row>
    <row r="61" spans="1:10">
      <c r="A61" s="23" t="s">
        <v>8</v>
      </c>
      <c r="B61" s="168">
        <v>1</v>
      </c>
      <c r="C61" s="170" t="s">
        <v>48</v>
      </c>
      <c r="D61" s="170" t="s">
        <v>97</v>
      </c>
      <c r="E61" s="1830">
        <v>6525</v>
      </c>
      <c r="F61" s="170" t="s">
        <v>98</v>
      </c>
      <c r="G61" s="174">
        <v>1</v>
      </c>
      <c r="H61" s="7" t="s">
        <v>96</v>
      </c>
      <c r="I61" s="23" t="s">
        <v>8</v>
      </c>
      <c r="J61" s="23" t="s">
        <v>8</v>
      </c>
    </row>
    <row r="62" spans="1:10">
      <c r="A62" s="23" t="s">
        <v>8</v>
      </c>
      <c r="B62" s="168">
        <v>2</v>
      </c>
      <c r="C62" s="170" t="s">
        <v>48</v>
      </c>
      <c r="D62" s="170" t="s">
        <v>99</v>
      </c>
      <c r="E62" s="1830">
        <v>231361.88</v>
      </c>
      <c r="F62" s="170" t="s">
        <v>100</v>
      </c>
      <c r="G62" s="174">
        <v>1</v>
      </c>
      <c r="H62" s="7" t="s">
        <v>96</v>
      </c>
      <c r="I62" s="23" t="s">
        <v>8</v>
      </c>
      <c r="J62" s="23" t="s">
        <v>8</v>
      </c>
    </row>
    <row r="63" spans="1:10">
      <c r="A63" s="23" t="s">
        <v>8</v>
      </c>
      <c r="B63" s="168">
        <v>3</v>
      </c>
      <c r="C63" s="170" t="s">
        <v>48</v>
      </c>
      <c r="D63" s="170" t="s">
        <v>99</v>
      </c>
      <c r="E63" s="1830">
        <v>5800001.25</v>
      </c>
      <c r="F63" s="170" t="s">
        <v>100</v>
      </c>
      <c r="G63" s="174">
        <v>1</v>
      </c>
      <c r="H63" s="7" t="s">
        <v>96</v>
      </c>
      <c r="I63" s="23" t="s">
        <v>8</v>
      </c>
      <c r="J63" s="23" t="s">
        <v>8</v>
      </c>
    </row>
    <row r="64" spans="1:10">
      <c r="A64" s="23" t="s">
        <v>8</v>
      </c>
      <c r="B64" s="168">
        <v>4</v>
      </c>
      <c r="C64" s="170" t="s">
        <v>48</v>
      </c>
      <c r="D64" s="170" t="s">
        <v>101</v>
      </c>
      <c r="E64" s="1830">
        <v>62033066.060000002</v>
      </c>
      <c r="F64" s="170" t="s">
        <v>50</v>
      </c>
      <c r="G64" s="174">
        <v>1</v>
      </c>
      <c r="H64" s="7" t="s">
        <v>96</v>
      </c>
      <c r="I64" s="23" t="s">
        <v>8</v>
      </c>
      <c r="J64" s="23" t="s">
        <v>8</v>
      </c>
    </row>
    <row r="65" spans="1:10">
      <c r="A65" s="23" t="s">
        <v>8</v>
      </c>
      <c r="B65" s="168">
        <v>5</v>
      </c>
      <c r="C65" s="170" t="s">
        <v>48</v>
      </c>
      <c r="D65" s="170" t="s">
        <v>102</v>
      </c>
      <c r="E65" s="1830">
        <v>2220000</v>
      </c>
      <c r="F65" s="170" t="s">
        <v>103</v>
      </c>
      <c r="G65" s="174">
        <v>1</v>
      </c>
      <c r="H65" s="7" t="s">
        <v>96</v>
      </c>
      <c r="I65" s="23" t="s">
        <v>8</v>
      </c>
      <c r="J65" s="23" t="s">
        <v>8</v>
      </c>
    </row>
    <row r="66" spans="1:10">
      <c r="A66" s="23" t="s">
        <v>8</v>
      </c>
      <c r="B66" s="168">
        <v>6</v>
      </c>
      <c r="C66" s="170" t="s">
        <v>27</v>
      </c>
      <c r="D66" s="170" t="s">
        <v>104</v>
      </c>
      <c r="E66" s="1830">
        <v>2035</v>
      </c>
      <c r="F66" s="170" t="s">
        <v>105</v>
      </c>
      <c r="G66" s="174">
        <v>0</v>
      </c>
      <c r="H66" s="7" t="s">
        <v>96</v>
      </c>
      <c r="I66" s="23" t="s">
        <v>8</v>
      </c>
      <c r="J66" s="23" t="s">
        <v>8</v>
      </c>
    </row>
    <row r="67" spans="1:10">
      <c r="A67" s="23" t="s">
        <v>8</v>
      </c>
      <c r="B67" s="168">
        <v>7</v>
      </c>
      <c r="C67" s="170" t="s">
        <v>27</v>
      </c>
      <c r="D67" s="170" t="s">
        <v>106</v>
      </c>
      <c r="E67" s="1830">
        <v>97332.02</v>
      </c>
      <c r="F67" s="170" t="s">
        <v>107</v>
      </c>
      <c r="G67" s="174">
        <v>0</v>
      </c>
      <c r="H67" s="7" t="s">
        <v>96</v>
      </c>
      <c r="I67" s="23" t="s">
        <v>8</v>
      </c>
      <c r="J67" s="23" t="s">
        <v>8</v>
      </c>
    </row>
    <row r="68" spans="1:10">
      <c r="A68" s="23" t="s">
        <v>8</v>
      </c>
      <c r="B68" s="168">
        <v>8</v>
      </c>
      <c r="C68" s="170" t="s">
        <v>27</v>
      </c>
      <c r="D68" s="170" t="s">
        <v>106</v>
      </c>
      <c r="E68" s="1830">
        <v>2440000.0699999998</v>
      </c>
      <c r="F68" s="170" t="s">
        <v>107</v>
      </c>
      <c r="G68" s="174">
        <v>0</v>
      </c>
      <c r="H68" s="7" t="s">
        <v>96</v>
      </c>
      <c r="I68" s="23" t="s">
        <v>8</v>
      </c>
      <c r="J68" s="23" t="s">
        <v>8</v>
      </c>
    </row>
    <row r="69" spans="1:10">
      <c r="A69" s="23" t="s">
        <v>8</v>
      </c>
      <c r="B69" s="168">
        <v>9</v>
      </c>
      <c r="C69" s="170" t="s">
        <v>27</v>
      </c>
      <c r="D69" s="170" t="s">
        <v>108</v>
      </c>
      <c r="E69" s="1830">
        <v>215179.28</v>
      </c>
      <c r="F69" s="170" t="s">
        <v>109</v>
      </c>
      <c r="G69" s="174">
        <v>0</v>
      </c>
      <c r="H69" s="7" t="s">
        <v>96</v>
      </c>
      <c r="I69" s="23" t="s">
        <v>8</v>
      </c>
      <c r="J69" s="23" t="s">
        <v>8</v>
      </c>
    </row>
    <row r="70" spans="1:10">
      <c r="A70" s="23" t="s">
        <v>8</v>
      </c>
      <c r="B70" s="168">
        <v>10</v>
      </c>
      <c r="C70" s="170" t="s">
        <v>27</v>
      </c>
      <c r="D70" s="170" t="s">
        <v>108</v>
      </c>
      <c r="E70" s="1830">
        <v>8299169.3600000003</v>
      </c>
      <c r="F70" s="170" t="s">
        <v>109</v>
      </c>
      <c r="G70" s="174">
        <v>0</v>
      </c>
      <c r="H70" s="7" t="s">
        <v>96</v>
      </c>
      <c r="I70" s="23" t="s">
        <v>8</v>
      </c>
      <c r="J70" s="23" t="s">
        <v>8</v>
      </c>
    </row>
    <row r="71" spans="1:10">
      <c r="A71" s="23" t="s">
        <v>8</v>
      </c>
      <c r="B71" s="168">
        <v>11</v>
      </c>
      <c r="C71" s="170" t="s">
        <v>27</v>
      </c>
      <c r="D71" s="170" t="s">
        <v>110</v>
      </c>
      <c r="E71" s="1830">
        <v>10933.06</v>
      </c>
      <c r="F71" s="170" t="s">
        <v>111</v>
      </c>
      <c r="G71" s="174">
        <v>0</v>
      </c>
      <c r="H71" s="7" t="s">
        <v>96</v>
      </c>
      <c r="I71" s="23" t="s">
        <v>8</v>
      </c>
      <c r="J71" s="23" t="s">
        <v>8</v>
      </c>
    </row>
    <row r="72" spans="1:10">
      <c r="A72" s="23" t="s">
        <v>8</v>
      </c>
      <c r="B72" s="168">
        <v>12</v>
      </c>
      <c r="C72" s="170" t="s">
        <v>27</v>
      </c>
      <c r="D72" s="170" t="s">
        <v>110</v>
      </c>
      <c r="E72" s="1830">
        <v>466243.94</v>
      </c>
      <c r="F72" s="170" t="s">
        <v>111</v>
      </c>
      <c r="G72" s="174">
        <v>0</v>
      </c>
      <c r="H72" s="7" t="s">
        <v>96</v>
      </c>
      <c r="I72" s="23" t="s">
        <v>8</v>
      </c>
      <c r="J72" s="23" t="s">
        <v>8</v>
      </c>
    </row>
    <row r="73" spans="1:10">
      <c r="A73" s="23" t="s">
        <v>8</v>
      </c>
      <c r="B73" s="168">
        <v>13</v>
      </c>
      <c r="C73" s="170" t="s">
        <v>27</v>
      </c>
      <c r="D73" s="170" t="s">
        <v>112</v>
      </c>
      <c r="E73" s="1830">
        <v>1733907.28</v>
      </c>
      <c r="F73" s="170" t="s">
        <v>113</v>
      </c>
      <c r="G73" s="174">
        <v>0</v>
      </c>
      <c r="H73" s="7" t="s">
        <v>96</v>
      </c>
      <c r="I73" s="23" t="s">
        <v>8</v>
      </c>
      <c r="J73" s="23" t="s">
        <v>8</v>
      </c>
    </row>
    <row r="74" spans="1:10">
      <c r="A74" s="23" t="s">
        <v>8</v>
      </c>
      <c r="B74" s="168" t="s">
        <v>8</v>
      </c>
      <c r="C74" s="170" t="s">
        <v>8</v>
      </c>
      <c r="D74" s="170" t="s">
        <v>8</v>
      </c>
      <c r="E74" s="1830" t="s">
        <v>8</v>
      </c>
      <c r="F74" s="170" t="s">
        <v>8</v>
      </c>
      <c r="G74" s="174" t="s">
        <v>8</v>
      </c>
      <c r="H74" s="7" t="s">
        <v>8</v>
      </c>
      <c r="I74" s="23" t="s">
        <v>8</v>
      </c>
      <c r="J74" s="23" t="s">
        <v>8</v>
      </c>
    </row>
    <row r="75" spans="1:10" ht="15.75" thickBot="1">
      <c r="A75" s="23" t="s">
        <v>8</v>
      </c>
      <c r="B75" s="169" t="s">
        <v>8</v>
      </c>
      <c r="C75" s="171" t="s">
        <v>8</v>
      </c>
      <c r="D75" s="173" t="s">
        <v>51</v>
      </c>
      <c r="E75" s="1836">
        <f>SUM($E$61:$E$74)</f>
        <v>83555754.199999988</v>
      </c>
      <c r="F75" s="171" t="s">
        <v>8</v>
      </c>
      <c r="G75" s="175" t="s">
        <v>8</v>
      </c>
      <c r="H75" s="12" t="s">
        <v>8</v>
      </c>
      <c r="I75" s="23" t="s">
        <v>8</v>
      </c>
      <c r="J75" s="23" t="s">
        <v>8</v>
      </c>
    </row>
    <row r="76" spans="1:10" ht="16.5" thickTop="1" thickBot="1">
      <c r="A76" s="23" t="s">
        <v>8</v>
      </c>
      <c r="B76" s="10" t="s">
        <v>8</v>
      </c>
      <c r="C76" s="23" t="s">
        <v>8</v>
      </c>
      <c r="D76" s="23" t="s">
        <v>8</v>
      </c>
      <c r="E76" s="1837" t="s">
        <v>8</v>
      </c>
      <c r="F76" s="23" t="s">
        <v>8</v>
      </c>
      <c r="G76" s="11" t="s">
        <v>8</v>
      </c>
      <c r="H76" s="23" t="s">
        <v>8</v>
      </c>
      <c r="I76" s="23" t="s">
        <v>8</v>
      </c>
      <c r="J76" s="23" t="s">
        <v>8</v>
      </c>
    </row>
    <row r="77" spans="1:10" ht="15.75" thickTop="1">
      <c r="A77" s="23" t="s">
        <v>8</v>
      </c>
      <c r="B77" s="176" t="s">
        <v>8</v>
      </c>
      <c r="C77" s="16" t="s">
        <v>8</v>
      </c>
      <c r="D77" s="16" t="s">
        <v>8</v>
      </c>
      <c r="E77" s="1839" t="s">
        <v>8</v>
      </c>
      <c r="F77" s="16" t="s">
        <v>8</v>
      </c>
      <c r="G77" s="177" t="s">
        <v>8</v>
      </c>
      <c r="H77" s="15" t="s">
        <v>8</v>
      </c>
      <c r="I77" s="23" t="s">
        <v>8</v>
      </c>
      <c r="J77" s="23" t="s">
        <v>8</v>
      </c>
    </row>
    <row r="78" spans="1:10">
      <c r="A78" s="23" t="s">
        <v>8</v>
      </c>
      <c r="B78" s="8" t="s">
        <v>8</v>
      </c>
      <c r="C78" s="1914" t="s">
        <v>8</v>
      </c>
      <c r="D78" s="1916" t="s">
        <v>114</v>
      </c>
      <c r="E78" s="1915">
        <f>ABS(E13+$E$28-$E$75+$E$48-$E$57)</f>
        <v>2760499351.6800003</v>
      </c>
      <c r="F78" s="1914" t="s">
        <v>8</v>
      </c>
      <c r="G78" s="1918" t="s">
        <v>8</v>
      </c>
      <c r="H78" s="7" t="s">
        <v>8</v>
      </c>
      <c r="I78" s="23" t="s">
        <v>8</v>
      </c>
      <c r="J78" s="23" t="s">
        <v>8</v>
      </c>
    </row>
    <row r="79" spans="1:10">
      <c r="A79" s="23" t="s">
        <v>8</v>
      </c>
      <c r="B79" s="8" t="s">
        <v>8</v>
      </c>
      <c r="C79" s="1914" t="s">
        <v>8</v>
      </c>
      <c r="D79" s="1916" t="s">
        <v>115</v>
      </c>
      <c r="E79" s="1915">
        <v>2760499351.6799998</v>
      </c>
      <c r="F79" s="1914" t="s">
        <v>8</v>
      </c>
      <c r="G79" s="1918" t="s">
        <v>8</v>
      </c>
      <c r="H79" s="7" t="s">
        <v>8</v>
      </c>
      <c r="I79" s="23" t="s">
        <v>116</v>
      </c>
      <c r="J79" s="23" t="s">
        <v>8</v>
      </c>
    </row>
    <row r="80" spans="1:10" ht="15.75" thickBot="1">
      <c r="A80" s="23" t="s">
        <v>8</v>
      </c>
      <c r="B80" s="6" t="s">
        <v>8</v>
      </c>
      <c r="C80" s="13" t="s">
        <v>8</v>
      </c>
      <c r="D80" s="5" t="s">
        <v>117</v>
      </c>
      <c r="E80" s="1833">
        <f>$E$79-$E$78</f>
        <v>0</v>
      </c>
      <c r="F80" s="13" t="s">
        <v>8</v>
      </c>
      <c r="G80" s="4" t="s">
        <v>8</v>
      </c>
      <c r="H80" s="12" t="s">
        <v>8</v>
      </c>
      <c r="I80" s="23" t="s">
        <v>8</v>
      </c>
      <c r="J80" s="23" t="s">
        <v>8</v>
      </c>
    </row>
    <row r="81" spans="1:10" ht="16.5" thickTop="1" thickBot="1">
      <c r="A81" s="23" t="s">
        <v>8</v>
      </c>
      <c r="B81" s="10" t="s">
        <v>8</v>
      </c>
      <c r="C81" s="23" t="s">
        <v>8</v>
      </c>
      <c r="D81" s="23" t="s">
        <v>8</v>
      </c>
      <c r="E81" s="1837" t="s">
        <v>8</v>
      </c>
      <c r="F81" s="23" t="s">
        <v>8</v>
      </c>
      <c r="G81" s="11" t="s">
        <v>8</v>
      </c>
      <c r="H81" s="23" t="s">
        <v>8</v>
      </c>
      <c r="I81" s="23" t="s">
        <v>8</v>
      </c>
      <c r="J81" s="23" t="s">
        <v>8</v>
      </c>
    </row>
    <row r="82" spans="1:10" ht="15.75" thickTop="1">
      <c r="A82" s="23" t="s">
        <v>8</v>
      </c>
      <c r="B82" s="176" t="s">
        <v>8</v>
      </c>
      <c r="C82" s="16" t="s">
        <v>8</v>
      </c>
      <c r="D82" s="9" t="s">
        <v>118</v>
      </c>
      <c r="E82" s="1840" t="s">
        <v>119</v>
      </c>
      <c r="F82" s="9" t="s">
        <v>120</v>
      </c>
      <c r="G82" s="177">
        <v>45981</v>
      </c>
      <c r="H82" s="15" t="s">
        <v>8</v>
      </c>
      <c r="I82" s="23" t="s">
        <v>8</v>
      </c>
      <c r="J82" s="23" t="s">
        <v>8</v>
      </c>
    </row>
    <row r="83" spans="1:10">
      <c r="A83" s="23" t="s">
        <v>8</v>
      </c>
      <c r="B83" s="8" t="s">
        <v>8</v>
      </c>
      <c r="C83" s="1914" t="s">
        <v>8</v>
      </c>
      <c r="D83" s="1914" t="s">
        <v>8</v>
      </c>
      <c r="E83" s="1917" t="s">
        <v>8</v>
      </c>
      <c r="F83" s="1914" t="s">
        <v>8</v>
      </c>
      <c r="G83" s="1918" t="s">
        <v>8</v>
      </c>
      <c r="H83" s="7" t="s">
        <v>8</v>
      </c>
      <c r="I83" s="23" t="s">
        <v>8</v>
      </c>
      <c r="J83" s="23" t="s">
        <v>8</v>
      </c>
    </row>
    <row r="84" spans="1:10">
      <c r="A84" s="23" t="s">
        <v>8</v>
      </c>
      <c r="B84" s="8" t="s">
        <v>8</v>
      </c>
      <c r="C84" s="1914" t="s">
        <v>8</v>
      </c>
      <c r="D84" s="1914" t="s">
        <v>8</v>
      </c>
      <c r="E84" s="1917" t="s">
        <v>8</v>
      </c>
      <c r="F84" s="1914" t="s">
        <v>8</v>
      </c>
      <c r="G84" s="1918" t="s">
        <v>8</v>
      </c>
      <c r="H84" s="7" t="s">
        <v>8</v>
      </c>
      <c r="I84" s="23" t="s">
        <v>8</v>
      </c>
      <c r="J84" s="23" t="s">
        <v>8</v>
      </c>
    </row>
    <row r="85" spans="1:10">
      <c r="A85" s="23" t="s">
        <v>8</v>
      </c>
      <c r="B85" s="8" t="s">
        <v>8</v>
      </c>
      <c r="C85" s="1914" t="s">
        <v>8</v>
      </c>
      <c r="D85" s="1916" t="s">
        <v>121</v>
      </c>
      <c r="E85" s="1915" t="s">
        <v>8</v>
      </c>
      <c r="F85" s="1916" t="s">
        <v>120</v>
      </c>
      <c r="G85" s="1918" t="s">
        <v>8</v>
      </c>
      <c r="H85" s="7" t="s">
        <v>8</v>
      </c>
      <c r="I85" s="23" t="s">
        <v>8</v>
      </c>
      <c r="J85" s="23" t="s">
        <v>8</v>
      </c>
    </row>
    <row r="86" spans="1:10">
      <c r="B86" s="180"/>
      <c r="C86" s="1919"/>
      <c r="D86" s="1919"/>
      <c r="E86" s="1920"/>
      <c r="F86" s="1919"/>
      <c r="G86" s="1919"/>
      <c r="H86" s="181"/>
    </row>
    <row r="87" spans="1:10" ht="15.75" thickBot="1">
      <c r="B87" s="182"/>
      <c r="C87" s="183"/>
      <c r="D87" s="183"/>
      <c r="E87" s="1841"/>
      <c r="F87" s="183"/>
      <c r="G87" s="183"/>
      <c r="H87" s="184"/>
    </row>
    <row r="88" spans="1:10" ht="15.7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showGridLines="0" topLeftCell="A23" workbookViewId="0">
      <selection activeCell="C36" sqref="C36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139" bestFit="1" customWidth="1"/>
    <col min="5" max="5" width="24.5703125" bestFit="1" customWidth="1"/>
    <col min="6" max="6" width="18.1406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12</v>
      </c>
      <c r="J1" s="27" t="s">
        <v>13</v>
      </c>
    </row>
    <row r="2" spans="1:10">
      <c r="A2" s="25" t="s">
        <v>8</v>
      </c>
      <c r="B2" s="25" t="s">
        <v>8</v>
      </c>
      <c r="C2" s="25" t="s">
        <v>8</v>
      </c>
      <c r="D2" s="25" t="s">
        <v>8</v>
      </c>
      <c r="E2" s="25" t="s">
        <v>8</v>
      </c>
      <c r="F2" s="25" t="s">
        <v>8</v>
      </c>
      <c r="G2" s="25" t="s">
        <v>8</v>
      </c>
      <c r="H2" s="25" t="s">
        <v>8</v>
      </c>
      <c r="I2" s="25" t="s">
        <v>8</v>
      </c>
      <c r="J2" s="25" t="s">
        <v>8</v>
      </c>
    </row>
    <row r="3" spans="1:10" ht="15.75" thickBot="1">
      <c r="A3" s="25" t="s">
        <v>8</v>
      </c>
      <c r="B3" s="25" t="s">
        <v>8</v>
      </c>
      <c r="C3" s="25" t="s">
        <v>8</v>
      </c>
      <c r="D3" s="25" t="s">
        <v>8</v>
      </c>
      <c r="E3" s="25" t="s">
        <v>8</v>
      </c>
      <c r="F3" s="25" t="s">
        <v>8</v>
      </c>
      <c r="G3" s="25" t="s">
        <v>8</v>
      </c>
      <c r="H3" s="25" t="s">
        <v>8</v>
      </c>
      <c r="I3" s="25" t="s">
        <v>8</v>
      </c>
      <c r="J3" s="25" t="s">
        <v>8</v>
      </c>
    </row>
    <row r="4" spans="1:10" ht="16.5" thickTop="1" thickBot="1">
      <c r="A4" s="25" t="s">
        <v>8</v>
      </c>
      <c r="B4" s="25" t="s">
        <v>14</v>
      </c>
      <c r="C4" s="25" t="s">
        <v>8</v>
      </c>
      <c r="D4" s="186" t="s">
        <v>15</v>
      </c>
      <c r="E4" s="25" t="s">
        <v>16</v>
      </c>
      <c r="F4" s="186" t="s">
        <v>122</v>
      </c>
      <c r="G4" s="25" t="s">
        <v>8</v>
      </c>
      <c r="H4" s="25" t="s">
        <v>8</v>
      </c>
      <c r="I4" s="25" t="s">
        <v>8</v>
      </c>
      <c r="J4" s="25" t="s">
        <v>8</v>
      </c>
    </row>
    <row r="5" spans="1:10" ht="16.5" thickTop="1" thickBot="1">
      <c r="A5" s="25" t="s">
        <v>8</v>
      </c>
      <c r="B5" s="25" t="s">
        <v>8</v>
      </c>
      <c r="C5" s="25" t="s">
        <v>8</v>
      </c>
      <c r="D5" s="25" t="s">
        <v>8</v>
      </c>
      <c r="E5" s="25" t="s">
        <v>8</v>
      </c>
      <c r="F5" s="25" t="s">
        <v>8</v>
      </c>
      <c r="G5" s="25" t="s">
        <v>8</v>
      </c>
      <c r="H5" s="25" t="s">
        <v>8</v>
      </c>
      <c r="I5" s="25" t="s">
        <v>8</v>
      </c>
      <c r="J5" s="25" t="s">
        <v>8</v>
      </c>
    </row>
    <row r="6" spans="1:10" ht="16.5" thickTop="1" thickBot="1">
      <c r="A6" s="25" t="s">
        <v>8</v>
      </c>
      <c r="B6" s="25" t="s">
        <v>18</v>
      </c>
      <c r="C6" s="25" t="s">
        <v>8</v>
      </c>
      <c r="D6" s="186" t="s">
        <v>19</v>
      </c>
      <c r="E6" s="25" t="s">
        <v>20</v>
      </c>
      <c r="F6" s="186" t="s">
        <v>123</v>
      </c>
      <c r="G6" s="25" t="s">
        <v>8</v>
      </c>
      <c r="H6" s="25" t="s">
        <v>8</v>
      </c>
      <c r="I6" s="25" t="s">
        <v>8</v>
      </c>
      <c r="J6" s="25" t="s">
        <v>8</v>
      </c>
    </row>
    <row r="7" spans="1:10" ht="16.5" thickTop="1" thickBot="1">
      <c r="A7" s="25" t="s">
        <v>8</v>
      </c>
      <c r="B7" s="25" t="s">
        <v>8</v>
      </c>
      <c r="C7" s="25" t="s">
        <v>8</v>
      </c>
      <c r="D7" s="25" t="s">
        <v>8</v>
      </c>
      <c r="E7" s="25" t="s">
        <v>8</v>
      </c>
      <c r="F7" s="25" t="s">
        <v>8</v>
      </c>
      <c r="G7" s="25" t="s">
        <v>8</v>
      </c>
      <c r="H7" s="25" t="s">
        <v>8</v>
      </c>
      <c r="I7" s="25" t="s">
        <v>8</v>
      </c>
      <c r="J7" s="25" t="s">
        <v>8</v>
      </c>
    </row>
    <row r="8" spans="1:10" ht="16.5" thickTop="1" thickBot="1">
      <c r="A8" s="25" t="s">
        <v>8</v>
      </c>
      <c r="B8" s="25" t="s">
        <v>22</v>
      </c>
      <c r="C8" s="25" t="s">
        <v>8</v>
      </c>
      <c r="D8" s="186" t="s">
        <v>11</v>
      </c>
      <c r="E8" s="25" t="s">
        <v>23</v>
      </c>
      <c r="F8" s="186" t="s">
        <v>124</v>
      </c>
      <c r="G8" s="25" t="s">
        <v>8</v>
      </c>
      <c r="H8" s="25" t="s">
        <v>8</v>
      </c>
      <c r="I8" s="25" t="s">
        <v>8</v>
      </c>
      <c r="J8" s="25" t="s">
        <v>8</v>
      </c>
    </row>
    <row r="9" spans="1:10" ht="16.5" thickTop="1" thickBot="1">
      <c r="A9" s="25" t="s">
        <v>8</v>
      </c>
      <c r="B9" s="25" t="s">
        <v>8</v>
      </c>
      <c r="C9" s="25" t="s">
        <v>8</v>
      </c>
      <c r="D9" s="25" t="s">
        <v>8</v>
      </c>
      <c r="E9" s="25" t="s">
        <v>8</v>
      </c>
      <c r="F9" s="25" t="s">
        <v>8</v>
      </c>
      <c r="G9" s="25" t="s">
        <v>8</v>
      </c>
      <c r="H9" s="25" t="s">
        <v>8</v>
      </c>
      <c r="I9" s="25" t="s">
        <v>8</v>
      </c>
      <c r="J9" s="25" t="s">
        <v>8</v>
      </c>
    </row>
    <row r="10" spans="1:10" ht="16.5" thickTop="1" thickBot="1">
      <c r="A10" s="25" t="s">
        <v>8</v>
      </c>
      <c r="B10" s="25" t="s">
        <v>25</v>
      </c>
      <c r="C10" s="25" t="s">
        <v>8</v>
      </c>
      <c r="D10" s="186" t="s">
        <v>26</v>
      </c>
      <c r="E10" s="25" t="s">
        <v>8</v>
      </c>
      <c r="F10" s="25" t="s">
        <v>8</v>
      </c>
      <c r="G10" s="25" t="s">
        <v>8</v>
      </c>
      <c r="H10" s="25" t="s">
        <v>8</v>
      </c>
      <c r="I10" s="25" t="s">
        <v>8</v>
      </c>
      <c r="J10" s="25" t="s">
        <v>8</v>
      </c>
    </row>
    <row r="11" spans="1:10" ht="16.5" thickTop="1" thickBot="1">
      <c r="A11" s="25" t="s">
        <v>8</v>
      </c>
      <c r="B11" s="25" t="s">
        <v>8</v>
      </c>
      <c r="C11" s="25" t="s">
        <v>8</v>
      </c>
      <c r="D11" s="25" t="s">
        <v>8</v>
      </c>
      <c r="E11" s="25" t="s">
        <v>8</v>
      </c>
      <c r="F11" s="25" t="s">
        <v>8</v>
      </c>
      <c r="G11" s="25" t="s">
        <v>8</v>
      </c>
      <c r="H11" s="25" t="s">
        <v>8</v>
      </c>
      <c r="I11" s="25" t="s">
        <v>8</v>
      </c>
      <c r="J11" s="25" t="s">
        <v>8</v>
      </c>
    </row>
    <row r="12" spans="1:10" ht="16.5" thickTop="1" thickBot="1">
      <c r="A12" s="25" t="s">
        <v>8</v>
      </c>
      <c r="B12" s="187" t="s">
        <v>8</v>
      </c>
      <c r="C12" s="188" t="s">
        <v>8</v>
      </c>
      <c r="D12" s="188" t="s">
        <v>8</v>
      </c>
      <c r="E12" s="188" t="s">
        <v>8</v>
      </c>
      <c r="F12" s="188" t="s">
        <v>8</v>
      </c>
      <c r="G12" s="188" t="s">
        <v>8</v>
      </c>
      <c r="H12" s="189" t="s">
        <v>8</v>
      </c>
      <c r="I12" s="25" t="s">
        <v>8</v>
      </c>
      <c r="J12" s="25" t="s">
        <v>8</v>
      </c>
    </row>
    <row r="13" spans="1:10" ht="16.5" thickTop="1" thickBot="1">
      <c r="A13" s="25" t="s">
        <v>8</v>
      </c>
      <c r="B13" s="190" t="s">
        <v>8</v>
      </c>
      <c r="C13" s="185" t="s">
        <v>27</v>
      </c>
      <c r="D13" s="191" t="s">
        <v>28</v>
      </c>
      <c r="E13" s="200">
        <v>44709004.600000001</v>
      </c>
      <c r="F13" s="191" t="s">
        <v>8</v>
      </c>
      <c r="G13" s="191" t="s">
        <v>8</v>
      </c>
      <c r="H13" s="192" t="s">
        <v>8</v>
      </c>
      <c r="I13" s="25" t="s">
        <v>29</v>
      </c>
      <c r="J13" s="25" t="s">
        <v>8</v>
      </c>
    </row>
    <row r="14" spans="1:10" ht="16.5" thickTop="1" thickBot="1">
      <c r="A14" s="25" t="s">
        <v>8</v>
      </c>
      <c r="B14" s="25" t="s">
        <v>8</v>
      </c>
      <c r="C14" s="25" t="s">
        <v>8</v>
      </c>
      <c r="D14" s="25" t="s">
        <v>8</v>
      </c>
      <c r="E14" s="25" t="s">
        <v>8</v>
      </c>
      <c r="F14" s="25" t="s">
        <v>8</v>
      </c>
      <c r="G14" s="25" t="s">
        <v>8</v>
      </c>
      <c r="H14" s="25" t="s">
        <v>8</v>
      </c>
      <c r="I14" s="25" t="s">
        <v>8</v>
      </c>
      <c r="J14" s="25" t="s">
        <v>8</v>
      </c>
    </row>
    <row r="15" spans="1:10" ht="16.5" thickTop="1" thickBot="1">
      <c r="A15" s="25" t="s">
        <v>8</v>
      </c>
      <c r="B15" s="186" t="s">
        <v>30</v>
      </c>
      <c r="C15" s="185" t="s">
        <v>31</v>
      </c>
      <c r="D15" s="185" t="s">
        <v>32</v>
      </c>
      <c r="E15" s="185" t="s">
        <v>33</v>
      </c>
      <c r="F15" s="185" t="s">
        <v>34</v>
      </c>
      <c r="G15" s="185" t="s">
        <v>35</v>
      </c>
      <c r="H15" s="185" t="s">
        <v>36</v>
      </c>
      <c r="I15" s="25" t="s">
        <v>8</v>
      </c>
      <c r="J15" s="25" t="s">
        <v>8</v>
      </c>
    </row>
    <row r="16" spans="1:10" ht="16.5" thickTop="1" thickBot="1">
      <c r="A16" s="25" t="s">
        <v>8</v>
      </c>
      <c r="B16" s="25" t="s">
        <v>8</v>
      </c>
      <c r="C16" s="25" t="s">
        <v>8</v>
      </c>
      <c r="D16" s="25" t="s">
        <v>8</v>
      </c>
      <c r="E16" s="25" t="s">
        <v>8</v>
      </c>
      <c r="F16" s="25" t="s">
        <v>8</v>
      </c>
      <c r="G16" s="25" t="s">
        <v>8</v>
      </c>
      <c r="H16" s="25" t="s">
        <v>8</v>
      </c>
      <c r="I16" s="25" t="s">
        <v>8</v>
      </c>
      <c r="J16" s="25" t="s">
        <v>8</v>
      </c>
    </row>
    <row r="17" spans="1:10" ht="15.75" thickTop="1">
      <c r="A17" s="25" t="s">
        <v>8</v>
      </c>
      <c r="B17" s="202" t="s">
        <v>8</v>
      </c>
      <c r="C17" s="202" t="s">
        <v>8</v>
      </c>
      <c r="D17" s="207" t="s">
        <v>37</v>
      </c>
      <c r="E17" s="202" t="s">
        <v>8</v>
      </c>
      <c r="F17" s="202" t="s">
        <v>8</v>
      </c>
      <c r="G17" s="202" t="s">
        <v>8</v>
      </c>
      <c r="H17" s="189" t="s">
        <v>8</v>
      </c>
      <c r="I17" s="25" t="s">
        <v>8</v>
      </c>
      <c r="J17" s="25" t="s">
        <v>8</v>
      </c>
    </row>
    <row r="18" spans="1:10">
      <c r="A18" s="25" t="s">
        <v>8</v>
      </c>
      <c r="B18" s="203">
        <v>1</v>
      </c>
      <c r="C18" s="205" t="s">
        <v>125</v>
      </c>
      <c r="D18" s="205" t="s">
        <v>126</v>
      </c>
      <c r="E18" s="209">
        <v>4400</v>
      </c>
      <c r="F18" s="205" t="s">
        <v>8</v>
      </c>
      <c r="G18" s="211">
        <v>8</v>
      </c>
      <c r="H18" s="197" t="s">
        <v>41</v>
      </c>
      <c r="I18" s="25" t="s">
        <v>8</v>
      </c>
      <c r="J18" s="25" t="s">
        <v>8</v>
      </c>
    </row>
    <row r="19" spans="1:10">
      <c r="A19" s="25" t="s">
        <v>8</v>
      </c>
      <c r="B19" s="203">
        <v>2</v>
      </c>
      <c r="C19" s="205" t="s">
        <v>48</v>
      </c>
      <c r="D19" s="205" t="s">
        <v>102</v>
      </c>
      <c r="E19" s="209">
        <v>200000</v>
      </c>
      <c r="F19" s="205" t="s">
        <v>103</v>
      </c>
      <c r="G19" s="211">
        <v>1</v>
      </c>
      <c r="H19" s="197" t="s">
        <v>41</v>
      </c>
      <c r="I19" s="25" t="s">
        <v>8</v>
      </c>
      <c r="J19" s="25" t="s">
        <v>8</v>
      </c>
    </row>
    <row r="20" spans="1:10">
      <c r="A20" s="25" t="s">
        <v>8</v>
      </c>
      <c r="B20" s="203">
        <v>3</v>
      </c>
      <c r="C20" s="205" t="s">
        <v>27</v>
      </c>
      <c r="D20" s="205" t="s">
        <v>127</v>
      </c>
      <c r="E20" s="209">
        <v>140000</v>
      </c>
      <c r="F20" s="205" t="s">
        <v>128</v>
      </c>
      <c r="G20" s="211">
        <v>0</v>
      </c>
      <c r="H20" s="197" t="s">
        <v>41</v>
      </c>
      <c r="I20" s="25" t="s">
        <v>8</v>
      </c>
      <c r="J20" s="25" t="s">
        <v>8</v>
      </c>
    </row>
    <row r="21" spans="1:10">
      <c r="A21" s="25" t="s">
        <v>8</v>
      </c>
      <c r="B21" s="203">
        <v>4</v>
      </c>
      <c r="C21" s="205" t="s">
        <v>27</v>
      </c>
      <c r="D21" s="205" t="s">
        <v>129</v>
      </c>
      <c r="E21" s="209">
        <v>20000</v>
      </c>
      <c r="F21" s="205" t="s">
        <v>130</v>
      </c>
      <c r="G21" s="211">
        <v>0</v>
      </c>
      <c r="H21" s="197" t="s">
        <v>41</v>
      </c>
      <c r="I21" s="25" t="s">
        <v>8</v>
      </c>
      <c r="J21" s="25" t="s">
        <v>8</v>
      </c>
    </row>
    <row r="22" spans="1:10">
      <c r="A22" s="25" t="s">
        <v>8</v>
      </c>
      <c r="B22" s="203">
        <v>5</v>
      </c>
      <c r="C22" s="205" t="s">
        <v>27</v>
      </c>
      <c r="D22" s="205" t="s">
        <v>131</v>
      </c>
      <c r="E22" s="209">
        <v>100000</v>
      </c>
      <c r="F22" s="205" t="s">
        <v>132</v>
      </c>
      <c r="G22" s="211">
        <v>0</v>
      </c>
      <c r="H22" s="197" t="s">
        <v>41</v>
      </c>
      <c r="I22" s="25" t="s">
        <v>8</v>
      </c>
      <c r="J22" s="25" t="s">
        <v>8</v>
      </c>
    </row>
    <row r="23" spans="1:10">
      <c r="A23" s="25" t="s">
        <v>8</v>
      </c>
      <c r="B23" s="203" t="s">
        <v>8</v>
      </c>
      <c r="C23" s="205" t="s">
        <v>8</v>
      </c>
      <c r="D23" s="205" t="s">
        <v>8</v>
      </c>
      <c r="E23" s="209" t="s">
        <v>8</v>
      </c>
      <c r="F23" s="205" t="s">
        <v>8</v>
      </c>
      <c r="G23" s="211" t="s">
        <v>8</v>
      </c>
      <c r="H23" s="197" t="s">
        <v>8</v>
      </c>
      <c r="I23" s="25" t="s">
        <v>8</v>
      </c>
      <c r="J23" s="25" t="s">
        <v>8</v>
      </c>
    </row>
    <row r="24" spans="1:10" ht="15.75" thickBot="1">
      <c r="A24" s="25" t="s">
        <v>8</v>
      </c>
      <c r="B24" s="204" t="s">
        <v>8</v>
      </c>
      <c r="C24" s="206" t="s">
        <v>8</v>
      </c>
      <c r="D24" s="208" t="s">
        <v>51</v>
      </c>
      <c r="E24" s="210">
        <f>SUM($E$18:$E$23)</f>
        <v>464400</v>
      </c>
      <c r="F24" s="206" t="s">
        <v>8</v>
      </c>
      <c r="G24" s="212" t="s">
        <v>8</v>
      </c>
      <c r="H24" s="192" t="s">
        <v>8</v>
      </c>
      <c r="I24" s="25" t="s">
        <v>8</v>
      </c>
      <c r="J24" s="25" t="s">
        <v>8</v>
      </c>
    </row>
    <row r="25" spans="1:10" ht="15.75" thickTop="1">
      <c r="A25" s="25" t="s">
        <v>8</v>
      </c>
      <c r="B25" s="194" t="s">
        <v>8</v>
      </c>
      <c r="C25" s="25" t="s">
        <v>8</v>
      </c>
      <c r="D25" s="25" t="s">
        <v>8</v>
      </c>
      <c r="E25" s="26" t="s">
        <v>8</v>
      </c>
      <c r="F25" s="25" t="s">
        <v>8</v>
      </c>
      <c r="G25" s="193" t="s">
        <v>8</v>
      </c>
      <c r="H25" s="25" t="s">
        <v>8</v>
      </c>
      <c r="I25" s="25" t="s">
        <v>8</v>
      </c>
      <c r="J25" s="25" t="s">
        <v>8</v>
      </c>
    </row>
    <row r="26" spans="1:10" ht="15.75" thickBot="1">
      <c r="A26" s="25" t="s">
        <v>8</v>
      </c>
      <c r="B26" s="194" t="s">
        <v>8</v>
      </c>
      <c r="C26" s="25" t="s">
        <v>8</v>
      </c>
      <c r="D26" s="25" t="s">
        <v>8</v>
      </c>
      <c r="E26" s="26" t="s">
        <v>8</v>
      </c>
      <c r="F26" s="25" t="s">
        <v>8</v>
      </c>
      <c r="G26" s="193" t="s">
        <v>8</v>
      </c>
      <c r="H26" s="25" t="s">
        <v>8</v>
      </c>
      <c r="I26" s="25" t="s">
        <v>8</v>
      </c>
      <c r="J26" s="25" t="s">
        <v>8</v>
      </c>
    </row>
    <row r="27" spans="1:10" ht="15.75" thickTop="1">
      <c r="A27" s="25" t="s">
        <v>8</v>
      </c>
      <c r="B27" s="216" t="s">
        <v>8</v>
      </c>
      <c r="C27" s="202" t="s">
        <v>8</v>
      </c>
      <c r="D27" s="207" t="s">
        <v>52</v>
      </c>
      <c r="E27" s="217" t="s">
        <v>8</v>
      </c>
      <c r="F27" s="202" t="s">
        <v>8</v>
      </c>
      <c r="G27" s="218" t="s">
        <v>8</v>
      </c>
      <c r="H27" s="189" t="s">
        <v>8</v>
      </c>
      <c r="I27" s="25" t="s">
        <v>8</v>
      </c>
      <c r="J27" s="25" t="s">
        <v>8</v>
      </c>
    </row>
    <row r="28" spans="1:10">
      <c r="A28" s="25" t="s">
        <v>8</v>
      </c>
      <c r="B28" s="203" t="s">
        <v>8</v>
      </c>
      <c r="C28" s="205" t="s">
        <v>8</v>
      </c>
      <c r="D28" s="205" t="s">
        <v>8</v>
      </c>
      <c r="E28" s="209" t="s">
        <v>8</v>
      </c>
      <c r="F28" s="205" t="s">
        <v>8</v>
      </c>
      <c r="G28" s="211" t="s">
        <v>8</v>
      </c>
      <c r="H28" s="197" t="s">
        <v>8</v>
      </c>
      <c r="I28" s="25" t="s">
        <v>8</v>
      </c>
      <c r="J28" s="25" t="s">
        <v>8</v>
      </c>
    </row>
    <row r="29" spans="1:10">
      <c r="A29" s="25" t="s">
        <v>8</v>
      </c>
      <c r="B29" s="203" t="s">
        <v>8</v>
      </c>
      <c r="C29" s="205" t="s">
        <v>8</v>
      </c>
      <c r="D29" s="205" t="s">
        <v>8</v>
      </c>
      <c r="E29" s="209" t="s">
        <v>8</v>
      </c>
      <c r="F29" s="205" t="s">
        <v>8</v>
      </c>
      <c r="G29" s="211" t="s">
        <v>8</v>
      </c>
      <c r="H29" s="197" t="s">
        <v>8</v>
      </c>
      <c r="I29" s="25" t="s">
        <v>8</v>
      </c>
      <c r="J29" s="25" t="s">
        <v>8</v>
      </c>
    </row>
    <row r="30" spans="1:10" ht="15.75" thickBot="1">
      <c r="A30" s="25" t="s">
        <v>8</v>
      </c>
      <c r="B30" s="204" t="s">
        <v>8</v>
      </c>
      <c r="C30" s="206" t="s">
        <v>8</v>
      </c>
      <c r="D30" s="208" t="s">
        <v>51</v>
      </c>
      <c r="E30" s="210">
        <f>SUM($E$28:$E$29)</f>
        <v>0</v>
      </c>
      <c r="F30" s="206" t="s">
        <v>8</v>
      </c>
      <c r="G30" s="212" t="s">
        <v>8</v>
      </c>
      <c r="H30" s="192" t="s">
        <v>8</v>
      </c>
      <c r="I30" s="25" t="s">
        <v>8</v>
      </c>
      <c r="J30" s="25" t="s">
        <v>8</v>
      </c>
    </row>
    <row r="31" spans="1:10" ht="15.75" thickTop="1">
      <c r="A31" s="25" t="s">
        <v>8</v>
      </c>
      <c r="B31" s="194" t="s">
        <v>8</v>
      </c>
      <c r="C31" s="25" t="s">
        <v>8</v>
      </c>
      <c r="D31" s="25" t="s">
        <v>8</v>
      </c>
      <c r="E31" s="26" t="s">
        <v>8</v>
      </c>
      <c r="F31" s="25" t="s">
        <v>8</v>
      </c>
      <c r="G31" s="193" t="s">
        <v>8</v>
      </c>
      <c r="H31" s="25" t="s">
        <v>8</v>
      </c>
      <c r="I31" s="25" t="s">
        <v>8</v>
      </c>
      <c r="J31" s="25" t="s">
        <v>8</v>
      </c>
    </row>
    <row r="32" spans="1:10" ht="15.75" thickBot="1">
      <c r="A32" s="25" t="s">
        <v>8</v>
      </c>
      <c r="B32" s="194" t="s">
        <v>8</v>
      </c>
      <c r="C32" s="25" t="s">
        <v>8</v>
      </c>
      <c r="D32" s="25" t="s">
        <v>8</v>
      </c>
      <c r="E32" s="26" t="s">
        <v>8</v>
      </c>
      <c r="F32" s="25" t="s">
        <v>8</v>
      </c>
      <c r="G32" s="193" t="s">
        <v>8</v>
      </c>
      <c r="H32" s="25" t="s">
        <v>8</v>
      </c>
      <c r="I32" s="25" t="s">
        <v>8</v>
      </c>
      <c r="J32" s="25" t="s">
        <v>8</v>
      </c>
    </row>
    <row r="33" spans="1:10" ht="15.75" thickTop="1">
      <c r="A33" s="25" t="s">
        <v>8</v>
      </c>
      <c r="B33" s="216" t="s">
        <v>8</v>
      </c>
      <c r="C33" s="202" t="s">
        <v>8</v>
      </c>
      <c r="D33" s="207" t="s">
        <v>85</v>
      </c>
      <c r="E33" s="217" t="s">
        <v>8</v>
      </c>
      <c r="F33" s="202" t="s">
        <v>8</v>
      </c>
      <c r="G33" s="218" t="s">
        <v>8</v>
      </c>
      <c r="H33" s="189" t="s">
        <v>8</v>
      </c>
      <c r="I33" s="25" t="s">
        <v>8</v>
      </c>
      <c r="J33" s="25" t="s">
        <v>8</v>
      </c>
    </row>
    <row r="34" spans="1:10">
      <c r="A34" s="25" t="s">
        <v>8</v>
      </c>
      <c r="B34" s="203">
        <v>1</v>
      </c>
      <c r="C34" s="205" t="s">
        <v>133</v>
      </c>
      <c r="D34" s="205" t="s">
        <v>134</v>
      </c>
      <c r="E34" s="209">
        <v>15000</v>
      </c>
      <c r="F34" s="205" t="s">
        <v>8</v>
      </c>
      <c r="G34" s="211">
        <v>17</v>
      </c>
      <c r="H34" s="197" t="s">
        <v>88</v>
      </c>
      <c r="I34" s="25" t="s">
        <v>8</v>
      </c>
      <c r="J34" s="25" t="s">
        <v>8</v>
      </c>
    </row>
    <row r="35" spans="1:10">
      <c r="A35" s="25" t="s">
        <v>8</v>
      </c>
      <c r="B35" s="203">
        <v>2</v>
      </c>
      <c r="C35" s="205" t="s">
        <v>48</v>
      </c>
      <c r="D35" s="205" t="s">
        <v>135</v>
      </c>
      <c r="E35" s="209">
        <v>600</v>
      </c>
      <c r="F35" s="205" t="s">
        <v>136</v>
      </c>
      <c r="G35" s="211">
        <v>1</v>
      </c>
      <c r="H35" s="197" t="s">
        <v>88</v>
      </c>
      <c r="I35" s="25" t="s">
        <v>8</v>
      </c>
      <c r="J35" s="25" t="s">
        <v>8</v>
      </c>
    </row>
    <row r="36" spans="1:10">
      <c r="A36" s="25" t="s">
        <v>8</v>
      </c>
      <c r="B36" s="203">
        <v>3</v>
      </c>
      <c r="C36" s="205" t="s">
        <v>27</v>
      </c>
      <c r="D36" s="205" t="s">
        <v>137</v>
      </c>
      <c r="E36" s="209">
        <v>6000</v>
      </c>
      <c r="F36" s="205" t="s">
        <v>138</v>
      </c>
      <c r="G36" s="211">
        <v>0</v>
      </c>
      <c r="H36" s="197" t="s">
        <v>88</v>
      </c>
      <c r="I36" s="25" t="s">
        <v>8</v>
      </c>
      <c r="J36" s="25" t="s">
        <v>8</v>
      </c>
    </row>
    <row r="37" spans="1:10">
      <c r="A37" s="25" t="s">
        <v>8</v>
      </c>
      <c r="B37" s="203" t="s">
        <v>8</v>
      </c>
      <c r="C37" s="205" t="s">
        <v>8</v>
      </c>
      <c r="D37" s="205" t="s">
        <v>8</v>
      </c>
      <c r="E37" s="209" t="s">
        <v>8</v>
      </c>
      <c r="F37" s="205" t="s">
        <v>8</v>
      </c>
      <c r="G37" s="211" t="s">
        <v>8</v>
      </c>
      <c r="H37" s="197" t="s">
        <v>8</v>
      </c>
      <c r="I37" s="25" t="s">
        <v>8</v>
      </c>
      <c r="J37" s="25" t="s">
        <v>8</v>
      </c>
    </row>
    <row r="38" spans="1:10" ht="15.75" thickBot="1">
      <c r="A38" s="25" t="s">
        <v>8</v>
      </c>
      <c r="B38" s="204" t="s">
        <v>8</v>
      </c>
      <c r="C38" s="206" t="s">
        <v>8</v>
      </c>
      <c r="D38" s="208" t="s">
        <v>51</v>
      </c>
      <c r="E38" s="210">
        <f>SUM($E$34:$E$37)</f>
        <v>21600</v>
      </c>
      <c r="F38" s="206" t="s">
        <v>8</v>
      </c>
      <c r="G38" s="212" t="s">
        <v>8</v>
      </c>
      <c r="H38" s="192" t="s">
        <v>8</v>
      </c>
      <c r="I38" s="25" t="s">
        <v>8</v>
      </c>
      <c r="J38" s="25" t="s">
        <v>8</v>
      </c>
    </row>
    <row r="39" spans="1:10" ht="15.75" thickTop="1">
      <c r="A39" s="25" t="s">
        <v>8</v>
      </c>
      <c r="B39" s="194" t="s">
        <v>8</v>
      </c>
      <c r="C39" s="25" t="s">
        <v>8</v>
      </c>
      <c r="D39" s="25" t="s">
        <v>8</v>
      </c>
      <c r="E39" s="26" t="s">
        <v>8</v>
      </c>
      <c r="F39" s="25" t="s">
        <v>8</v>
      </c>
      <c r="G39" s="193" t="s">
        <v>8</v>
      </c>
      <c r="H39" s="25" t="s">
        <v>8</v>
      </c>
      <c r="I39" s="25" t="s">
        <v>8</v>
      </c>
      <c r="J39" s="25" t="s">
        <v>8</v>
      </c>
    </row>
    <row r="40" spans="1:10" ht="15.75" thickBot="1">
      <c r="A40" s="25" t="s">
        <v>8</v>
      </c>
      <c r="B40" s="194" t="s">
        <v>8</v>
      </c>
      <c r="C40" s="25" t="s">
        <v>8</v>
      </c>
      <c r="D40" s="25" t="s">
        <v>8</v>
      </c>
      <c r="E40" s="26" t="s">
        <v>8</v>
      </c>
      <c r="F40" s="25" t="s">
        <v>8</v>
      </c>
      <c r="G40" s="193" t="s">
        <v>8</v>
      </c>
      <c r="H40" s="25" t="s">
        <v>8</v>
      </c>
      <c r="I40" s="25" t="s">
        <v>8</v>
      </c>
      <c r="J40" s="25" t="s">
        <v>8</v>
      </c>
    </row>
    <row r="41" spans="1:10" ht="15.75" thickTop="1">
      <c r="A41" s="25" t="s">
        <v>8</v>
      </c>
      <c r="B41" s="216" t="s">
        <v>8</v>
      </c>
      <c r="C41" s="202" t="s">
        <v>8</v>
      </c>
      <c r="D41" s="207" t="s">
        <v>95</v>
      </c>
      <c r="E41" s="217" t="s">
        <v>8</v>
      </c>
      <c r="F41" s="202" t="s">
        <v>8</v>
      </c>
      <c r="G41" s="218" t="s">
        <v>8</v>
      </c>
      <c r="H41" s="189" t="s">
        <v>8</v>
      </c>
      <c r="I41" s="25" t="s">
        <v>8</v>
      </c>
      <c r="J41" s="25" t="s">
        <v>8</v>
      </c>
    </row>
    <row r="42" spans="1:10">
      <c r="A42" s="25" t="s">
        <v>8</v>
      </c>
      <c r="B42" s="203">
        <v>1</v>
      </c>
      <c r="C42" s="205" t="s">
        <v>139</v>
      </c>
      <c r="D42" s="205" t="s">
        <v>140</v>
      </c>
      <c r="E42" s="209">
        <v>67.02</v>
      </c>
      <c r="F42" s="205" t="s">
        <v>8</v>
      </c>
      <c r="G42" s="211">
        <v>38</v>
      </c>
      <c r="H42" s="197" t="s">
        <v>96</v>
      </c>
      <c r="I42" s="25" t="s">
        <v>8</v>
      </c>
      <c r="J42" s="25" t="s">
        <v>8</v>
      </c>
    </row>
    <row r="43" spans="1:10">
      <c r="A43" s="25" t="s">
        <v>8</v>
      </c>
      <c r="B43" s="203">
        <v>2</v>
      </c>
      <c r="C43" s="205" t="s">
        <v>141</v>
      </c>
      <c r="D43" s="205" t="s">
        <v>142</v>
      </c>
      <c r="E43" s="209">
        <v>345.73</v>
      </c>
      <c r="F43" s="205" t="s">
        <v>143</v>
      </c>
      <c r="G43" s="211">
        <v>7</v>
      </c>
      <c r="H43" s="197" t="s">
        <v>96</v>
      </c>
      <c r="I43" s="25" t="s">
        <v>8</v>
      </c>
      <c r="J43" s="25" t="s">
        <v>8</v>
      </c>
    </row>
    <row r="44" spans="1:10">
      <c r="A44" s="25" t="s">
        <v>8</v>
      </c>
      <c r="B44" s="203" t="s">
        <v>8</v>
      </c>
      <c r="C44" s="205" t="s">
        <v>8</v>
      </c>
      <c r="D44" s="205" t="s">
        <v>8</v>
      </c>
      <c r="E44" s="209" t="s">
        <v>8</v>
      </c>
      <c r="F44" s="205" t="s">
        <v>8</v>
      </c>
      <c r="G44" s="211" t="s">
        <v>8</v>
      </c>
      <c r="H44" s="197" t="s">
        <v>8</v>
      </c>
      <c r="I44" s="25" t="s">
        <v>8</v>
      </c>
      <c r="J44" s="25" t="s">
        <v>8</v>
      </c>
    </row>
    <row r="45" spans="1:10" ht="15.75" thickBot="1">
      <c r="A45" s="25" t="s">
        <v>8</v>
      </c>
      <c r="B45" s="204" t="s">
        <v>8</v>
      </c>
      <c r="C45" s="206" t="s">
        <v>8</v>
      </c>
      <c r="D45" s="208" t="s">
        <v>51</v>
      </c>
      <c r="E45" s="210">
        <f>SUM($E$42:$E$44)</f>
        <v>412.75</v>
      </c>
      <c r="F45" s="206" t="s">
        <v>8</v>
      </c>
      <c r="G45" s="212" t="s">
        <v>8</v>
      </c>
      <c r="H45" s="192" t="s">
        <v>8</v>
      </c>
      <c r="I45" s="25" t="s">
        <v>8</v>
      </c>
      <c r="J45" s="25" t="s">
        <v>8</v>
      </c>
    </row>
    <row r="46" spans="1:10" ht="16.5" thickTop="1" thickBot="1">
      <c r="A46" s="25" t="s">
        <v>8</v>
      </c>
      <c r="B46" s="194" t="s">
        <v>8</v>
      </c>
      <c r="C46" s="25" t="s">
        <v>8</v>
      </c>
      <c r="D46" s="25" t="s">
        <v>8</v>
      </c>
      <c r="E46" s="26" t="s">
        <v>8</v>
      </c>
      <c r="F46" s="25" t="s">
        <v>8</v>
      </c>
      <c r="G46" s="193" t="s">
        <v>8</v>
      </c>
      <c r="H46" s="25" t="s">
        <v>8</v>
      </c>
      <c r="I46" s="25" t="s">
        <v>8</v>
      </c>
      <c r="J46" s="25" t="s">
        <v>8</v>
      </c>
    </row>
    <row r="47" spans="1:10" ht="15.75" thickTop="1">
      <c r="A47" s="25" t="s">
        <v>8</v>
      </c>
      <c r="B47" s="213" t="s">
        <v>8</v>
      </c>
      <c r="C47" s="188" t="s">
        <v>8</v>
      </c>
      <c r="D47" s="188" t="s">
        <v>8</v>
      </c>
      <c r="E47" s="214" t="s">
        <v>8</v>
      </c>
      <c r="F47" s="188" t="s">
        <v>8</v>
      </c>
      <c r="G47" s="215" t="s">
        <v>8</v>
      </c>
      <c r="H47" s="189" t="s">
        <v>8</v>
      </c>
      <c r="I47" s="25" t="s">
        <v>8</v>
      </c>
      <c r="J47" s="25" t="s">
        <v>8</v>
      </c>
    </row>
    <row r="48" spans="1:10">
      <c r="A48" s="25" t="s">
        <v>8</v>
      </c>
      <c r="B48" s="196" t="s">
        <v>8</v>
      </c>
      <c r="C48" s="1942" t="s">
        <v>8</v>
      </c>
      <c r="D48" s="1944" t="s">
        <v>114</v>
      </c>
      <c r="E48" s="1943">
        <f>ABS(E13+$E$24-$E$45+$E$30-$E$38)</f>
        <v>45151391.850000001</v>
      </c>
      <c r="F48" s="1942" t="s">
        <v>8</v>
      </c>
      <c r="G48" s="1946" t="s">
        <v>8</v>
      </c>
      <c r="H48" s="197" t="s">
        <v>8</v>
      </c>
      <c r="I48" s="25" t="s">
        <v>8</v>
      </c>
      <c r="J48" s="25" t="s">
        <v>8</v>
      </c>
    </row>
    <row r="49" spans="1:10">
      <c r="A49" s="25" t="s">
        <v>8</v>
      </c>
      <c r="B49" s="196" t="s">
        <v>8</v>
      </c>
      <c r="C49" s="1942" t="s">
        <v>8</v>
      </c>
      <c r="D49" s="1944" t="s">
        <v>115</v>
      </c>
      <c r="E49" s="1943">
        <v>45151391.850000001</v>
      </c>
      <c r="F49" s="1942" t="s">
        <v>8</v>
      </c>
      <c r="G49" s="1946" t="s">
        <v>8</v>
      </c>
      <c r="H49" s="197" t="s">
        <v>8</v>
      </c>
      <c r="I49" s="25" t="s">
        <v>116</v>
      </c>
      <c r="J49" s="25" t="s">
        <v>8</v>
      </c>
    </row>
    <row r="50" spans="1:10" ht="15.75" thickBot="1">
      <c r="A50" s="25" t="s">
        <v>8</v>
      </c>
      <c r="B50" s="198" t="s">
        <v>8</v>
      </c>
      <c r="C50" s="191" t="s">
        <v>8</v>
      </c>
      <c r="D50" s="199" t="s">
        <v>117</v>
      </c>
      <c r="E50" s="200">
        <f>$E$49-$E$48</f>
        <v>0</v>
      </c>
      <c r="F50" s="191" t="s">
        <v>8</v>
      </c>
      <c r="G50" s="201" t="s">
        <v>8</v>
      </c>
      <c r="H50" s="192" t="s">
        <v>8</v>
      </c>
      <c r="I50" s="25" t="s">
        <v>8</v>
      </c>
      <c r="J50" s="25" t="s">
        <v>8</v>
      </c>
    </row>
    <row r="51" spans="1:10" ht="16.5" thickTop="1" thickBot="1">
      <c r="A51" s="25" t="s">
        <v>8</v>
      </c>
      <c r="B51" s="194" t="s">
        <v>8</v>
      </c>
      <c r="C51" s="25" t="s">
        <v>8</v>
      </c>
      <c r="D51" s="25" t="s">
        <v>8</v>
      </c>
      <c r="E51" s="26" t="s">
        <v>8</v>
      </c>
      <c r="F51" s="25" t="s">
        <v>8</v>
      </c>
      <c r="G51" s="193" t="s">
        <v>8</v>
      </c>
      <c r="H51" s="25" t="s">
        <v>8</v>
      </c>
      <c r="I51" s="25" t="s">
        <v>8</v>
      </c>
      <c r="J51" s="25" t="s">
        <v>8</v>
      </c>
    </row>
    <row r="52" spans="1:10" ht="15.75" thickTop="1">
      <c r="A52" s="25" t="s">
        <v>8</v>
      </c>
      <c r="B52" s="213" t="s">
        <v>8</v>
      </c>
      <c r="C52" s="188" t="s">
        <v>8</v>
      </c>
      <c r="D52" s="195" t="s">
        <v>118</v>
      </c>
      <c r="E52" s="219" t="s">
        <v>119</v>
      </c>
      <c r="F52" s="195" t="s">
        <v>120</v>
      </c>
      <c r="G52" s="215">
        <v>45981</v>
      </c>
      <c r="H52" s="189" t="s">
        <v>8</v>
      </c>
      <c r="I52" s="25" t="s">
        <v>8</v>
      </c>
      <c r="J52" s="25" t="s">
        <v>8</v>
      </c>
    </row>
    <row r="53" spans="1:10">
      <c r="A53" s="25" t="s">
        <v>8</v>
      </c>
      <c r="B53" s="196" t="s">
        <v>8</v>
      </c>
      <c r="C53" s="1942" t="s">
        <v>8</v>
      </c>
      <c r="D53" s="1942" t="s">
        <v>8</v>
      </c>
      <c r="E53" s="1945" t="s">
        <v>8</v>
      </c>
      <c r="F53" s="1942" t="s">
        <v>8</v>
      </c>
      <c r="G53" s="1946" t="s">
        <v>8</v>
      </c>
      <c r="H53" s="197" t="s">
        <v>8</v>
      </c>
      <c r="I53" s="25" t="s">
        <v>8</v>
      </c>
      <c r="J53" s="25" t="s">
        <v>8</v>
      </c>
    </row>
    <row r="54" spans="1:10">
      <c r="A54" s="25" t="s">
        <v>8</v>
      </c>
      <c r="B54" s="196" t="s">
        <v>8</v>
      </c>
      <c r="C54" s="1942" t="s">
        <v>8</v>
      </c>
      <c r="D54" s="1942" t="s">
        <v>8</v>
      </c>
      <c r="E54" s="1945" t="s">
        <v>8</v>
      </c>
      <c r="F54" s="1942" t="s">
        <v>8</v>
      </c>
      <c r="G54" s="1946" t="s">
        <v>8</v>
      </c>
      <c r="H54" s="197" t="s">
        <v>8</v>
      </c>
      <c r="I54" s="25" t="s">
        <v>8</v>
      </c>
      <c r="J54" s="25" t="s">
        <v>8</v>
      </c>
    </row>
    <row r="55" spans="1:10">
      <c r="A55" s="25" t="s">
        <v>8</v>
      </c>
      <c r="B55" s="196" t="s">
        <v>8</v>
      </c>
      <c r="C55" s="1942" t="s">
        <v>8</v>
      </c>
      <c r="D55" s="1944" t="s">
        <v>121</v>
      </c>
      <c r="E55" s="1943" t="s">
        <v>8</v>
      </c>
      <c r="F55" s="1944" t="s">
        <v>120</v>
      </c>
      <c r="G55" s="1946" t="s">
        <v>8</v>
      </c>
      <c r="H55" s="197" t="s">
        <v>8</v>
      </c>
      <c r="I55" s="25" t="s">
        <v>8</v>
      </c>
      <c r="J55" s="25" t="s">
        <v>8</v>
      </c>
    </row>
    <row r="56" spans="1:10">
      <c r="B56" s="180"/>
      <c r="C56" s="1919"/>
      <c r="D56" s="1919"/>
      <c r="E56" s="1919"/>
      <c r="F56" s="1919"/>
      <c r="G56" s="1919"/>
      <c r="H56" s="181"/>
    </row>
    <row r="57" spans="1:10" ht="15.75" thickBot="1">
      <c r="B57" s="182"/>
      <c r="C57" s="183"/>
      <c r="D57" s="183"/>
      <c r="E57" s="183"/>
      <c r="F57" s="183"/>
      <c r="G57" s="183"/>
      <c r="H57" s="184"/>
    </row>
    <row r="58" spans="1:10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topLeftCell="A12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15.1406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12</v>
      </c>
      <c r="J1" s="30" t="s">
        <v>13</v>
      </c>
    </row>
    <row r="2" spans="1:10">
      <c r="A2" s="28" t="s">
        <v>8</v>
      </c>
      <c r="B2" s="28" t="s">
        <v>8</v>
      </c>
      <c r="C2" s="28" t="s">
        <v>8</v>
      </c>
      <c r="D2" s="28" t="s">
        <v>8</v>
      </c>
      <c r="E2" s="28" t="s">
        <v>8</v>
      </c>
      <c r="F2" s="28" t="s">
        <v>8</v>
      </c>
      <c r="G2" s="28" t="s">
        <v>8</v>
      </c>
      <c r="H2" s="28" t="s">
        <v>8</v>
      </c>
      <c r="I2" s="28" t="s">
        <v>8</v>
      </c>
      <c r="J2" s="28" t="s">
        <v>8</v>
      </c>
    </row>
    <row r="3" spans="1:10" ht="15.75" thickBot="1">
      <c r="A3" s="28" t="s">
        <v>8</v>
      </c>
      <c r="B3" s="28" t="s">
        <v>8</v>
      </c>
      <c r="C3" s="28" t="s">
        <v>8</v>
      </c>
      <c r="D3" s="28" t="s">
        <v>8</v>
      </c>
      <c r="E3" s="28" t="s">
        <v>8</v>
      </c>
      <c r="F3" s="28" t="s">
        <v>8</v>
      </c>
      <c r="G3" s="28" t="s">
        <v>8</v>
      </c>
      <c r="H3" s="28" t="s">
        <v>8</v>
      </c>
      <c r="I3" s="28" t="s">
        <v>8</v>
      </c>
      <c r="J3" s="28" t="s">
        <v>8</v>
      </c>
    </row>
    <row r="4" spans="1:10" ht="16.5" thickTop="1" thickBot="1">
      <c r="A4" s="28" t="s">
        <v>8</v>
      </c>
      <c r="B4" s="28" t="s">
        <v>14</v>
      </c>
      <c r="C4" s="28" t="s">
        <v>8</v>
      </c>
      <c r="D4" s="221" t="s">
        <v>15</v>
      </c>
      <c r="E4" s="28" t="s">
        <v>16</v>
      </c>
      <c r="F4" s="221" t="s">
        <v>144</v>
      </c>
      <c r="G4" s="28" t="s">
        <v>8</v>
      </c>
      <c r="H4" s="28" t="s">
        <v>8</v>
      </c>
      <c r="I4" s="28" t="s">
        <v>8</v>
      </c>
      <c r="J4" s="28" t="s">
        <v>8</v>
      </c>
    </row>
    <row r="5" spans="1:10" ht="16.5" thickTop="1" thickBot="1">
      <c r="A5" s="28" t="s">
        <v>8</v>
      </c>
      <c r="B5" s="28" t="s">
        <v>8</v>
      </c>
      <c r="C5" s="28" t="s">
        <v>8</v>
      </c>
      <c r="D5" s="28" t="s">
        <v>8</v>
      </c>
      <c r="E5" s="28" t="s">
        <v>8</v>
      </c>
      <c r="F5" s="28" t="s">
        <v>8</v>
      </c>
      <c r="G5" s="28" t="s">
        <v>8</v>
      </c>
      <c r="H5" s="28" t="s">
        <v>8</v>
      </c>
      <c r="I5" s="28" t="s">
        <v>8</v>
      </c>
      <c r="J5" s="28" t="s">
        <v>8</v>
      </c>
    </row>
    <row r="6" spans="1:10" ht="16.5" thickTop="1" thickBot="1">
      <c r="A6" s="28" t="s">
        <v>8</v>
      </c>
      <c r="B6" s="28" t="s">
        <v>18</v>
      </c>
      <c r="C6" s="28" t="s">
        <v>8</v>
      </c>
      <c r="D6" s="221" t="s">
        <v>19</v>
      </c>
      <c r="E6" s="28" t="s">
        <v>20</v>
      </c>
      <c r="F6" s="221" t="s">
        <v>145</v>
      </c>
      <c r="G6" s="28" t="s">
        <v>8</v>
      </c>
      <c r="H6" s="28" t="s">
        <v>8</v>
      </c>
      <c r="I6" s="28" t="s">
        <v>8</v>
      </c>
      <c r="J6" s="28" t="s">
        <v>8</v>
      </c>
    </row>
    <row r="7" spans="1:10" ht="16.5" thickTop="1" thickBot="1">
      <c r="A7" s="28" t="s">
        <v>8</v>
      </c>
      <c r="B7" s="28" t="s">
        <v>8</v>
      </c>
      <c r="C7" s="28" t="s">
        <v>8</v>
      </c>
      <c r="D7" s="28" t="s">
        <v>8</v>
      </c>
      <c r="E7" s="28" t="s">
        <v>8</v>
      </c>
      <c r="F7" s="28" t="s">
        <v>8</v>
      </c>
      <c r="G7" s="28" t="s">
        <v>8</v>
      </c>
      <c r="H7" s="28" t="s">
        <v>8</v>
      </c>
      <c r="I7" s="28" t="s">
        <v>8</v>
      </c>
      <c r="J7" s="28" t="s">
        <v>8</v>
      </c>
    </row>
    <row r="8" spans="1:10" ht="16.5" thickTop="1" thickBot="1">
      <c r="A8" s="28" t="s">
        <v>8</v>
      </c>
      <c r="B8" s="28" t="s">
        <v>22</v>
      </c>
      <c r="C8" s="28" t="s">
        <v>8</v>
      </c>
      <c r="D8" s="221" t="s">
        <v>11</v>
      </c>
      <c r="E8" s="28" t="s">
        <v>23</v>
      </c>
      <c r="F8" s="221" t="s">
        <v>146</v>
      </c>
      <c r="G8" s="28" t="s">
        <v>8</v>
      </c>
      <c r="H8" s="28" t="s">
        <v>8</v>
      </c>
      <c r="I8" s="28" t="s">
        <v>8</v>
      </c>
      <c r="J8" s="28" t="s">
        <v>8</v>
      </c>
    </row>
    <row r="9" spans="1:10" ht="16.5" thickTop="1" thickBot="1">
      <c r="A9" s="28" t="s">
        <v>8</v>
      </c>
      <c r="B9" s="28" t="s">
        <v>8</v>
      </c>
      <c r="C9" s="28" t="s">
        <v>8</v>
      </c>
      <c r="D9" s="28" t="s">
        <v>8</v>
      </c>
      <c r="E9" s="28" t="s">
        <v>8</v>
      </c>
      <c r="F9" s="28" t="s">
        <v>8</v>
      </c>
      <c r="G9" s="28" t="s">
        <v>8</v>
      </c>
      <c r="H9" s="28" t="s">
        <v>8</v>
      </c>
      <c r="I9" s="28" t="s">
        <v>8</v>
      </c>
      <c r="J9" s="28" t="s">
        <v>8</v>
      </c>
    </row>
    <row r="10" spans="1:10" ht="16.5" thickTop="1" thickBot="1">
      <c r="A10" s="28" t="s">
        <v>8</v>
      </c>
      <c r="B10" s="28" t="s">
        <v>25</v>
      </c>
      <c r="C10" s="28" t="s">
        <v>8</v>
      </c>
      <c r="D10" s="221" t="s">
        <v>26</v>
      </c>
      <c r="E10" s="28" t="s">
        <v>8</v>
      </c>
      <c r="F10" s="28" t="s">
        <v>8</v>
      </c>
      <c r="G10" s="28" t="s">
        <v>8</v>
      </c>
      <c r="H10" s="28" t="s">
        <v>8</v>
      </c>
      <c r="I10" s="28" t="s">
        <v>8</v>
      </c>
      <c r="J10" s="28" t="s">
        <v>8</v>
      </c>
    </row>
    <row r="11" spans="1:10" ht="16.5" thickTop="1" thickBot="1">
      <c r="A11" s="28" t="s">
        <v>8</v>
      </c>
      <c r="B11" s="28" t="s">
        <v>8</v>
      </c>
      <c r="C11" s="28" t="s">
        <v>8</v>
      </c>
      <c r="D11" s="28" t="s">
        <v>8</v>
      </c>
      <c r="E11" s="28" t="s">
        <v>8</v>
      </c>
      <c r="F11" s="28" t="s">
        <v>8</v>
      </c>
      <c r="G11" s="28" t="s">
        <v>8</v>
      </c>
      <c r="H11" s="28" t="s">
        <v>8</v>
      </c>
      <c r="I11" s="28" t="s">
        <v>8</v>
      </c>
      <c r="J11" s="28" t="s">
        <v>8</v>
      </c>
    </row>
    <row r="12" spans="1:10" ht="16.5" thickTop="1" thickBot="1">
      <c r="A12" s="28" t="s">
        <v>8</v>
      </c>
      <c r="B12" s="222" t="s">
        <v>8</v>
      </c>
      <c r="C12" s="223" t="s">
        <v>8</v>
      </c>
      <c r="D12" s="223" t="s">
        <v>8</v>
      </c>
      <c r="E12" s="223" t="s">
        <v>8</v>
      </c>
      <c r="F12" s="223" t="s">
        <v>8</v>
      </c>
      <c r="G12" s="223" t="s">
        <v>8</v>
      </c>
      <c r="H12" s="224" t="s">
        <v>8</v>
      </c>
      <c r="I12" s="28" t="s">
        <v>8</v>
      </c>
      <c r="J12" s="28" t="s">
        <v>8</v>
      </c>
    </row>
    <row r="13" spans="1:10" ht="16.5" thickTop="1" thickBot="1">
      <c r="A13" s="28" t="s">
        <v>8</v>
      </c>
      <c r="B13" s="225" t="s">
        <v>8</v>
      </c>
      <c r="C13" s="220" t="s">
        <v>27</v>
      </c>
      <c r="D13" s="226" t="s">
        <v>28</v>
      </c>
      <c r="E13" s="235">
        <v>1063124.1599999999</v>
      </c>
      <c r="F13" s="226" t="s">
        <v>8</v>
      </c>
      <c r="G13" s="226" t="s">
        <v>8</v>
      </c>
      <c r="H13" s="227" t="s">
        <v>8</v>
      </c>
      <c r="I13" s="28" t="s">
        <v>29</v>
      </c>
      <c r="J13" s="28" t="s">
        <v>8</v>
      </c>
    </row>
    <row r="14" spans="1:10" ht="16.5" thickTop="1" thickBot="1">
      <c r="A14" s="28" t="s">
        <v>8</v>
      </c>
      <c r="B14" s="28" t="s">
        <v>8</v>
      </c>
      <c r="C14" s="28" t="s">
        <v>8</v>
      </c>
      <c r="D14" s="28" t="s">
        <v>8</v>
      </c>
      <c r="E14" s="28" t="s">
        <v>8</v>
      </c>
      <c r="F14" s="28" t="s">
        <v>8</v>
      </c>
      <c r="G14" s="28" t="s">
        <v>8</v>
      </c>
      <c r="H14" s="28" t="s">
        <v>8</v>
      </c>
      <c r="I14" s="28" t="s">
        <v>8</v>
      </c>
      <c r="J14" s="28" t="s">
        <v>8</v>
      </c>
    </row>
    <row r="15" spans="1:10" ht="16.5" thickTop="1" thickBot="1">
      <c r="A15" s="28" t="s">
        <v>8</v>
      </c>
      <c r="B15" s="221" t="s">
        <v>30</v>
      </c>
      <c r="C15" s="220" t="s">
        <v>31</v>
      </c>
      <c r="D15" s="220" t="s">
        <v>32</v>
      </c>
      <c r="E15" s="220" t="s">
        <v>33</v>
      </c>
      <c r="F15" s="220" t="s">
        <v>34</v>
      </c>
      <c r="G15" s="220" t="s">
        <v>35</v>
      </c>
      <c r="H15" s="220" t="s">
        <v>36</v>
      </c>
      <c r="I15" s="28" t="s">
        <v>8</v>
      </c>
      <c r="J15" s="28" t="s">
        <v>8</v>
      </c>
    </row>
    <row r="16" spans="1:10" ht="16.5" thickTop="1" thickBot="1">
      <c r="A16" s="28" t="s">
        <v>8</v>
      </c>
      <c r="B16" s="28" t="s">
        <v>8</v>
      </c>
      <c r="C16" s="28" t="s">
        <v>8</v>
      </c>
      <c r="D16" s="28" t="s">
        <v>8</v>
      </c>
      <c r="E16" s="28" t="s">
        <v>8</v>
      </c>
      <c r="F16" s="28" t="s">
        <v>8</v>
      </c>
      <c r="G16" s="28" t="s">
        <v>8</v>
      </c>
      <c r="H16" s="28" t="s">
        <v>8</v>
      </c>
      <c r="I16" s="28" t="s">
        <v>8</v>
      </c>
      <c r="J16" s="28" t="s">
        <v>8</v>
      </c>
    </row>
    <row r="17" spans="1:10" ht="15.75" thickTop="1">
      <c r="A17" s="28" t="s">
        <v>8</v>
      </c>
      <c r="B17" s="237" t="s">
        <v>8</v>
      </c>
      <c r="C17" s="237" t="s">
        <v>8</v>
      </c>
      <c r="D17" s="242" t="s">
        <v>37</v>
      </c>
      <c r="E17" s="237" t="s">
        <v>8</v>
      </c>
      <c r="F17" s="237" t="s">
        <v>8</v>
      </c>
      <c r="G17" s="237" t="s">
        <v>8</v>
      </c>
      <c r="H17" s="224" t="s">
        <v>8</v>
      </c>
      <c r="I17" s="28" t="s">
        <v>8</v>
      </c>
      <c r="J17" s="28" t="s">
        <v>8</v>
      </c>
    </row>
    <row r="18" spans="1:10">
      <c r="A18" s="28" t="s">
        <v>8</v>
      </c>
      <c r="B18" s="238" t="s">
        <v>8</v>
      </c>
      <c r="C18" s="240" t="s">
        <v>8</v>
      </c>
      <c r="D18" s="240" t="s">
        <v>8</v>
      </c>
      <c r="E18" s="244" t="s">
        <v>8</v>
      </c>
      <c r="F18" s="240" t="s">
        <v>8</v>
      </c>
      <c r="G18" s="246" t="s">
        <v>8</v>
      </c>
      <c r="H18" s="232" t="s">
        <v>8</v>
      </c>
      <c r="I18" s="28" t="s">
        <v>8</v>
      </c>
      <c r="J18" s="28" t="s">
        <v>8</v>
      </c>
    </row>
    <row r="19" spans="1:10">
      <c r="A19" s="28" t="s">
        <v>8</v>
      </c>
      <c r="B19" s="238" t="s">
        <v>8</v>
      </c>
      <c r="C19" s="240" t="s">
        <v>8</v>
      </c>
      <c r="D19" s="240" t="s">
        <v>8</v>
      </c>
      <c r="E19" s="244" t="s">
        <v>8</v>
      </c>
      <c r="F19" s="240" t="s">
        <v>8</v>
      </c>
      <c r="G19" s="246" t="s">
        <v>8</v>
      </c>
      <c r="H19" s="232" t="s">
        <v>8</v>
      </c>
      <c r="I19" s="28" t="s">
        <v>8</v>
      </c>
      <c r="J19" s="28" t="s">
        <v>8</v>
      </c>
    </row>
    <row r="20" spans="1:10" ht="15.75" thickBot="1">
      <c r="A20" s="28" t="s">
        <v>8</v>
      </c>
      <c r="B20" s="239" t="s">
        <v>8</v>
      </c>
      <c r="C20" s="241" t="s">
        <v>8</v>
      </c>
      <c r="D20" s="243" t="s">
        <v>51</v>
      </c>
      <c r="E20" s="245">
        <f>SUM($E$18:$E$19)</f>
        <v>0</v>
      </c>
      <c r="F20" s="241" t="s">
        <v>8</v>
      </c>
      <c r="G20" s="247" t="s">
        <v>8</v>
      </c>
      <c r="H20" s="227" t="s">
        <v>8</v>
      </c>
      <c r="I20" s="28" t="s">
        <v>8</v>
      </c>
      <c r="J20" s="28" t="s">
        <v>8</v>
      </c>
    </row>
    <row r="21" spans="1:10" ht="15.75" thickTop="1">
      <c r="A21" s="28" t="s">
        <v>8</v>
      </c>
      <c r="B21" s="229" t="s">
        <v>8</v>
      </c>
      <c r="C21" s="28" t="s">
        <v>8</v>
      </c>
      <c r="D21" s="28" t="s">
        <v>8</v>
      </c>
      <c r="E21" s="29" t="s">
        <v>8</v>
      </c>
      <c r="F21" s="28" t="s">
        <v>8</v>
      </c>
      <c r="G21" s="228" t="s">
        <v>8</v>
      </c>
      <c r="H21" s="28" t="s">
        <v>8</v>
      </c>
      <c r="I21" s="28" t="s">
        <v>8</v>
      </c>
      <c r="J21" s="28" t="s">
        <v>8</v>
      </c>
    </row>
    <row r="22" spans="1:10" ht="15.75" thickBot="1">
      <c r="A22" s="28" t="s">
        <v>8</v>
      </c>
      <c r="B22" s="229" t="s">
        <v>8</v>
      </c>
      <c r="C22" s="28" t="s">
        <v>8</v>
      </c>
      <c r="D22" s="28" t="s">
        <v>8</v>
      </c>
      <c r="E22" s="29" t="s">
        <v>8</v>
      </c>
      <c r="F22" s="28" t="s">
        <v>8</v>
      </c>
      <c r="G22" s="228" t="s">
        <v>8</v>
      </c>
      <c r="H22" s="28" t="s">
        <v>8</v>
      </c>
      <c r="I22" s="28" t="s">
        <v>8</v>
      </c>
      <c r="J22" s="28" t="s">
        <v>8</v>
      </c>
    </row>
    <row r="23" spans="1:10" ht="15.75" thickTop="1">
      <c r="A23" s="28" t="s">
        <v>8</v>
      </c>
      <c r="B23" s="251" t="s">
        <v>8</v>
      </c>
      <c r="C23" s="237" t="s">
        <v>8</v>
      </c>
      <c r="D23" s="242" t="s">
        <v>52</v>
      </c>
      <c r="E23" s="252" t="s">
        <v>8</v>
      </c>
      <c r="F23" s="237" t="s">
        <v>8</v>
      </c>
      <c r="G23" s="253" t="s">
        <v>8</v>
      </c>
      <c r="H23" s="224" t="s">
        <v>8</v>
      </c>
      <c r="I23" s="28" t="s">
        <v>8</v>
      </c>
      <c r="J23" s="28" t="s">
        <v>8</v>
      </c>
    </row>
    <row r="24" spans="1:10">
      <c r="A24" s="28" t="s">
        <v>8</v>
      </c>
      <c r="B24" s="238" t="s">
        <v>8</v>
      </c>
      <c r="C24" s="240" t="s">
        <v>8</v>
      </c>
      <c r="D24" s="240" t="s">
        <v>8</v>
      </c>
      <c r="E24" s="244" t="s">
        <v>8</v>
      </c>
      <c r="F24" s="240" t="s">
        <v>8</v>
      </c>
      <c r="G24" s="246" t="s">
        <v>8</v>
      </c>
      <c r="H24" s="232" t="s">
        <v>8</v>
      </c>
      <c r="I24" s="28" t="s">
        <v>8</v>
      </c>
      <c r="J24" s="28" t="s">
        <v>8</v>
      </c>
    </row>
    <row r="25" spans="1:10">
      <c r="A25" s="28" t="s">
        <v>8</v>
      </c>
      <c r="B25" s="238" t="s">
        <v>8</v>
      </c>
      <c r="C25" s="240" t="s">
        <v>8</v>
      </c>
      <c r="D25" s="240" t="s">
        <v>8</v>
      </c>
      <c r="E25" s="244" t="s">
        <v>8</v>
      </c>
      <c r="F25" s="240" t="s">
        <v>8</v>
      </c>
      <c r="G25" s="246" t="s">
        <v>8</v>
      </c>
      <c r="H25" s="232" t="s">
        <v>8</v>
      </c>
      <c r="I25" s="28" t="s">
        <v>8</v>
      </c>
      <c r="J25" s="28" t="s">
        <v>8</v>
      </c>
    </row>
    <row r="26" spans="1:10" ht="15.75" thickBot="1">
      <c r="A26" s="28" t="s">
        <v>8</v>
      </c>
      <c r="B26" s="239" t="s">
        <v>8</v>
      </c>
      <c r="C26" s="241" t="s">
        <v>8</v>
      </c>
      <c r="D26" s="243" t="s">
        <v>51</v>
      </c>
      <c r="E26" s="245">
        <f>SUM($E$24:$E$25)</f>
        <v>0</v>
      </c>
      <c r="F26" s="241" t="s">
        <v>8</v>
      </c>
      <c r="G26" s="247" t="s">
        <v>8</v>
      </c>
      <c r="H26" s="227" t="s">
        <v>8</v>
      </c>
      <c r="I26" s="28" t="s">
        <v>8</v>
      </c>
      <c r="J26" s="28" t="s">
        <v>8</v>
      </c>
    </row>
    <row r="27" spans="1:10" ht="15.75" thickTop="1">
      <c r="A27" s="28" t="s">
        <v>8</v>
      </c>
      <c r="B27" s="229" t="s">
        <v>8</v>
      </c>
      <c r="C27" s="28" t="s">
        <v>8</v>
      </c>
      <c r="D27" s="28" t="s">
        <v>8</v>
      </c>
      <c r="E27" s="29" t="s">
        <v>8</v>
      </c>
      <c r="F27" s="28" t="s">
        <v>8</v>
      </c>
      <c r="G27" s="228" t="s">
        <v>8</v>
      </c>
      <c r="H27" s="28" t="s">
        <v>8</v>
      </c>
      <c r="I27" s="28" t="s">
        <v>8</v>
      </c>
      <c r="J27" s="28" t="s">
        <v>8</v>
      </c>
    </row>
    <row r="28" spans="1:10" ht="15.75" thickBot="1">
      <c r="A28" s="28" t="s">
        <v>8</v>
      </c>
      <c r="B28" s="229" t="s">
        <v>8</v>
      </c>
      <c r="C28" s="28" t="s">
        <v>8</v>
      </c>
      <c r="D28" s="28" t="s">
        <v>8</v>
      </c>
      <c r="E28" s="29" t="s">
        <v>8</v>
      </c>
      <c r="F28" s="28" t="s">
        <v>8</v>
      </c>
      <c r="G28" s="228" t="s">
        <v>8</v>
      </c>
      <c r="H28" s="28" t="s">
        <v>8</v>
      </c>
      <c r="I28" s="28" t="s">
        <v>8</v>
      </c>
      <c r="J28" s="28" t="s">
        <v>8</v>
      </c>
    </row>
    <row r="29" spans="1:10" ht="15.75" thickTop="1">
      <c r="A29" s="28" t="s">
        <v>8</v>
      </c>
      <c r="B29" s="251" t="s">
        <v>8</v>
      </c>
      <c r="C29" s="237" t="s">
        <v>8</v>
      </c>
      <c r="D29" s="242" t="s">
        <v>85</v>
      </c>
      <c r="E29" s="252" t="s">
        <v>8</v>
      </c>
      <c r="F29" s="237" t="s">
        <v>8</v>
      </c>
      <c r="G29" s="253" t="s">
        <v>8</v>
      </c>
      <c r="H29" s="224" t="s">
        <v>8</v>
      </c>
      <c r="I29" s="28" t="s">
        <v>8</v>
      </c>
      <c r="J29" s="28" t="s">
        <v>8</v>
      </c>
    </row>
    <row r="30" spans="1:10">
      <c r="A30" s="28" t="s">
        <v>8</v>
      </c>
      <c r="B30" s="238" t="s">
        <v>8</v>
      </c>
      <c r="C30" s="240" t="s">
        <v>8</v>
      </c>
      <c r="D30" s="240" t="s">
        <v>8</v>
      </c>
      <c r="E30" s="244" t="s">
        <v>8</v>
      </c>
      <c r="F30" s="240" t="s">
        <v>8</v>
      </c>
      <c r="G30" s="246" t="s">
        <v>8</v>
      </c>
      <c r="H30" s="232" t="s">
        <v>8</v>
      </c>
      <c r="I30" s="28" t="s">
        <v>8</v>
      </c>
      <c r="J30" s="28" t="s">
        <v>8</v>
      </c>
    </row>
    <row r="31" spans="1:10">
      <c r="A31" s="28" t="s">
        <v>8</v>
      </c>
      <c r="B31" s="238" t="s">
        <v>8</v>
      </c>
      <c r="C31" s="240" t="s">
        <v>8</v>
      </c>
      <c r="D31" s="240" t="s">
        <v>8</v>
      </c>
      <c r="E31" s="244" t="s">
        <v>8</v>
      </c>
      <c r="F31" s="240" t="s">
        <v>8</v>
      </c>
      <c r="G31" s="246" t="s">
        <v>8</v>
      </c>
      <c r="H31" s="232" t="s">
        <v>8</v>
      </c>
      <c r="I31" s="28" t="s">
        <v>8</v>
      </c>
      <c r="J31" s="28" t="s">
        <v>8</v>
      </c>
    </row>
    <row r="32" spans="1:10" ht="15.75" thickBot="1">
      <c r="A32" s="28" t="s">
        <v>8</v>
      </c>
      <c r="B32" s="239" t="s">
        <v>8</v>
      </c>
      <c r="C32" s="241" t="s">
        <v>8</v>
      </c>
      <c r="D32" s="243" t="s">
        <v>51</v>
      </c>
      <c r="E32" s="245">
        <f>SUM($E$30:$E$31)</f>
        <v>0</v>
      </c>
      <c r="F32" s="241" t="s">
        <v>8</v>
      </c>
      <c r="G32" s="247" t="s">
        <v>8</v>
      </c>
      <c r="H32" s="227" t="s">
        <v>8</v>
      </c>
      <c r="I32" s="28" t="s">
        <v>8</v>
      </c>
      <c r="J32" s="28" t="s">
        <v>8</v>
      </c>
    </row>
    <row r="33" spans="1:10" ht="15.75" thickTop="1">
      <c r="A33" s="28" t="s">
        <v>8</v>
      </c>
      <c r="B33" s="229" t="s">
        <v>8</v>
      </c>
      <c r="C33" s="28" t="s">
        <v>8</v>
      </c>
      <c r="D33" s="28" t="s">
        <v>8</v>
      </c>
      <c r="E33" s="29" t="s">
        <v>8</v>
      </c>
      <c r="F33" s="28" t="s">
        <v>8</v>
      </c>
      <c r="G33" s="228" t="s">
        <v>8</v>
      </c>
      <c r="H33" s="28" t="s">
        <v>8</v>
      </c>
      <c r="I33" s="28" t="s">
        <v>8</v>
      </c>
      <c r="J33" s="28" t="s">
        <v>8</v>
      </c>
    </row>
    <row r="34" spans="1:10" ht="15.75" thickBot="1">
      <c r="A34" s="28" t="s">
        <v>8</v>
      </c>
      <c r="B34" s="229" t="s">
        <v>8</v>
      </c>
      <c r="C34" s="28" t="s">
        <v>8</v>
      </c>
      <c r="D34" s="28" t="s">
        <v>8</v>
      </c>
      <c r="E34" s="29" t="s">
        <v>8</v>
      </c>
      <c r="F34" s="28" t="s">
        <v>8</v>
      </c>
      <c r="G34" s="228" t="s">
        <v>8</v>
      </c>
      <c r="H34" s="28" t="s">
        <v>8</v>
      </c>
      <c r="I34" s="28" t="s">
        <v>8</v>
      </c>
      <c r="J34" s="28" t="s">
        <v>8</v>
      </c>
    </row>
    <row r="35" spans="1:10" ht="15.75" thickTop="1">
      <c r="A35" s="28" t="s">
        <v>8</v>
      </c>
      <c r="B35" s="251" t="s">
        <v>8</v>
      </c>
      <c r="C35" s="237" t="s">
        <v>8</v>
      </c>
      <c r="D35" s="242" t="s">
        <v>95</v>
      </c>
      <c r="E35" s="252" t="s">
        <v>8</v>
      </c>
      <c r="F35" s="237" t="s">
        <v>8</v>
      </c>
      <c r="G35" s="253" t="s">
        <v>8</v>
      </c>
      <c r="H35" s="224" t="s">
        <v>8</v>
      </c>
      <c r="I35" s="28" t="s">
        <v>8</v>
      </c>
      <c r="J35" s="28" t="s">
        <v>8</v>
      </c>
    </row>
    <row r="36" spans="1:10">
      <c r="A36" s="28" t="s">
        <v>8</v>
      </c>
      <c r="B36" s="238" t="s">
        <v>8</v>
      </c>
      <c r="C36" s="240" t="s">
        <v>8</v>
      </c>
      <c r="D36" s="240" t="s">
        <v>8</v>
      </c>
      <c r="E36" s="244" t="s">
        <v>8</v>
      </c>
      <c r="F36" s="240" t="s">
        <v>8</v>
      </c>
      <c r="G36" s="246" t="s">
        <v>8</v>
      </c>
      <c r="H36" s="232" t="s">
        <v>8</v>
      </c>
      <c r="I36" s="28" t="s">
        <v>8</v>
      </c>
      <c r="J36" s="28" t="s">
        <v>8</v>
      </c>
    </row>
    <row r="37" spans="1:10">
      <c r="A37" s="28" t="s">
        <v>8</v>
      </c>
      <c r="B37" s="238" t="s">
        <v>8</v>
      </c>
      <c r="C37" s="240" t="s">
        <v>8</v>
      </c>
      <c r="D37" s="240" t="s">
        <v>8</v>
      </c>
      <c r="E37" s="244" t="s">
        <v>8</v>
      </c>
      <c r="F37" s="240" t="s">
        <v>8</v>
      </c>
      <c r="G37" s="246" t="s">
        <v>8</v>
      </c>
      <c r="H37" s="232" t="s">
        <v>8</v>
      </c>
      <c r="I37" s="28" t="s">
        <v>8</v>
      </c>
      <c r="J37" s="28" t="s">
        <v>8</v>
      </c>
    </row>
    <row r="38" spans="1:10" ht="15.75" thickBot="1">
      <c r="A38" s="28" t="s">
        <v>8</v>
      </c>
      <c r="B38" s="239" t="s">
        <v>8</v>
      </c>
      <c r="C38" s="241" t="s">
        <v>8</v>
      </c>
      <c r="D38" s="243" t="s">
        <v>51</v>
      </c>
      <c r="E38" s="245">
        <f>SUM($E$36:$E$37)</f>
        <v>0</v>
      </c>
      <c r="F38" s="241" t="s">
        <v>8</v>
      </c>
      <c r="G38" s="247" t="s">
        <v>8</v>
      </c>
      <c r="H38" s="227" t="s">
        <v>8</v>
      </c>
      <c r="I38" s="28" t="s">
        <v>8</v>
      </c>
      <c r="J38" s="28" t="s">
        <v>8</v>
      </c>
    </row>
    <row r="39" spans="1:10" ht="16.5" thickTop="1" thickBot="1">
      <c r="A39" s="28" t="s">
        <v>8</v>
      </c>
      <c r="B39" s="229" t="s">
        <v>8</v>
      </c>
      <c r="C39" s="28" t="s">
        <v>8</v>
      </c>
      <c r="D39" s="28" t="s">
        <v>8</v>
      </c>
      <c r="E39" s="29" t="s">
        <v>8</v>
      </c>
      <c r="F39" s="28" t="s">
        <v>8</v>
      </c>
      <c r="G39" s="228" t="s">
        <v>8</v>
      </c>
      <c r="H39" s="28" t="s">
        <v>8</v>
      </c>
      <c r="I39" s="28" t="s">
        <v>8</v>
      </c>
      <c r="J39" s="28" t="s">
        <v>8</v>
      </c>
    </row>
    <row r="40" spans="1:10" ht="15.75" thickTop="1">
      <c r="A40" s="28" t="s">
        <v>8</v>
      </c>
      <c r="B40" s="248" t="s">
        <v>8</v>
      </c>
      <c r="C40" s="223" t="s">
        <v>8</v>
      </c>
      <c r="D40" s="223" t="s">
        <v>8</v>
      </c>
      <c r="E40" s="249" t="s">
        <v>8</v>
      </c>
      <c r="F40" s="223" t="s">
        <v>8</v>
      </c>
      <c r="G40" s="250" t="s">
        <v>8</v>
      </c>
      <c r="H40" s="224" t="s">
        <v>8</v>
      </c>
      <c r="I40" s="28" t="s">
        <v>8</v>
      </c>
      <c r="J40" s="28" t="s">
        <v>8</v>
      </c>
    </row>
    <row r="41" spans="1:10">
      <c r="A41" s="28" t="s">
        <v>8</v>
      </c>
      <c r="B41" s="231" t="s">
        <v>8</v>
      </c>
      <c r="C41" s="1947" t="s">
        <v>8</v>
      </c>
      <c r="D41" s="1949" t="s">
        <v>114</v>
      </c>
      <c r="E41" s="1948">
        <f>ABS(E13+$E$20-$E$38+$E$26-$E$32)</f>
        <v>1063124.1599999999</v>
      </c>
      <c r="F41" s="1947" t="s">
        <v>8</v>
      </c>
      <c r="G41" s="1951" t="s">
        <v>8</v>
      </c>
      <c r="H41" s="232" t="s">
        <v>8</v>
      </c>
      <c r="I41" s="28" t="s">
        <v>8</v>
      </c>
      <c r="J41" s="28" t="s">
        <v>8</v>
      </c>
    </row>
    <row r="42" spans="1:10">
      <c r="A42" s="28" t="s">
        <v>8</v>
      </c>
      <c r="B42" s="231" t="s">
        <v>8</v>
      </c>
      <c r="C42" s="1947" t="s">
        <v>8</v>
      </c>
      <c r="D42" s="1949" t="s">
        <v>115</v>
      </c>
      <c r="E42" s="1948">
        <v>1063124.1599999999</v>
      </c>
      <c r="F42" s="1947" t="s">
        <v>8</v>
      </c>
      <c r="G42" s="1951" t="s">
        <v>8</v>
      </c>
      <c r="H42" s="232" t="s">
        <v>8</v>
      </c>
      <c r="I42" s="28" t="s">
        <v>116</v>
      </c>
      <c r="J42" s="28" t="s">
        <v>8</v>
      </c>
    </row>
    <row r="43" spans="1:10" ht="15.75" thickBot="1">
      <c r="A43" s="28" t="s">
        <v>8</v>
      </c>
      <c r="B43" s="233" t="s">
        <v>8</v>
      </c>
      <c r="C43" s="226" t="s">
        <v>8</v>
      </c>
      <c r="D43" s="234" t="s">
        <v>117</v>
      </c>
      <c r="E43" s="235">
        <f>$E$42-$E$41</f>
        <v>0</v>
      </c>
      <c r="F43" s="226" t="s">
        <v>8</v>
      </c>
      <c r="G43" s="236" t="s">
        <v>8</v>
      </c>
      <c r="H43" s="227" t="s">
        <v>8</v>
      </c>
      <c r="I43" s="28" t="s">
        <v>8</v>
      </c>
      <c r="J43" s="28" t="s">
        <v>8</v>
      </c>
    </row>
    <row r="44" spans="1:10" ht="16.5" thickTop="1" thickBot="1">
      <c r="A44" s="28" t="s">
        <v>8</v>
      </c>
      <c r="B44" s="229" t="s">
        <v>8</v>
      </c>
      <c r="C44" s="28" t="s">
        <v>8</v>
      </c>
      <c r="D44" s="28" t="s">
        <v>8</v>
      </c>
      <c r="E44" s="29" t="s">
        <v>8</v>
      </c>
      <c r="F44" s="28" t="s">
        <v>8</v>
      </c>
      <c r="G44" s="228" t="s">
        <v>8</v>
      </c>
      <c r="H44" s="28" t="s">
        <v>8</v>
      </c>
      <c r="I44" s="28" t="s">
        <v>8</v>
      </c>
      <c r="J44" s="28" t="s">
        <v>8</v>
      </c>
    </row>
    <row r="45" spans="1:10" ht="15.75" thickTop="1">
      <c r="A45" s="28" t="s">
        <v>8</v>
      </c>
      <c r="B45" s="248" t="s">
        <v>8</v>
      </c>
      <c r="C45" s="223" t="s">
        <v>8</v>
      </c>
      <c r="D45" s="230" t="s">
        <v>118</v>
      </c>
      <c r="E45" s="254" t="s">
        <v>119</v>
      </c>
      <c r="F45" s="230" t="s">
        <v>120</v>
      </c>
      <c r="G45" s="250">
        <v>45981</v>
      </c>
      <c r="H45" s="224" t="s">
        <v>8</v>
      </c>
      <c r="I45" s="28" t="s">
        <v>8</v>
      </c>
      <c r="J45" s="28" t="s">
        <v>8</v>
      </c>
    </row>
    <row r="46" spans="1:10">
      <c r="A46" s="28" t="s">
        <v>8</v>
      </c>
      <c r="B46" s="231" t="s">
        <v>8</v>
      </c>
      <c r="C46" s="1947" t="s">
        <v>8</v>
      </c>
      <c r="D46" s="1947" t="s">
        <v>8</v>
      </c>
      <c r="E46" s="1950" t="s">
        <v>8</v>
      </c>
      <c r="F46" s="1947" t="s">
        <v>8</v>
      </c>
      <c r="G46" s="1951" t="s">
        <v>8</v>
      </c>
      <c r="H46" s="232" t="s">
        <v>8</v>
      </c>
      <c r="I46" s="28" t="s">
        <v>8</v>
      </c>
      <c r="J46" s="28" t="s">
        <v>8</v>
      </c>
    </row>
    <row r="47" spans="1:10">
      <c r="A47" s="28" t="s">
        <v>8</v>
      </c>
      <c r="B47" s="231" t="s">
        <v>8</v>
      </c>
      <c r="C47" s="1947" t="s">
        <v>8</v>
      </c>
      <c r="D47" s="1947" t="s">
        <v>8</v>
      </c>
      <c r="E47" s="1950" t="s">
        <v>8</v>
      </c>
      <c r="F47" s="1947" t="s">
        <v>8</v>
      </c>
      <c r="G47" s="1951" t="s">
        <v>8</v>
      </c>
      <c r="H47" s="232" t="s">
        <v>8</v>
      </c>
      <c r="I47" s="28" t="s">
        <v>8</v>
      </c>
      <c r="J47" s="28" t="s">
        <v>8</v>
      </c>
    </row>
    <row r="48" spans="1:10">
      <c r="A48" s="28" t="s">
        <v>8</v>
      </c>
      <c r="B48" s="231" t="s">
        <v>8</v>
      </c>
      <c r="C48" s="1947" t="s">
        <v>8</v>
      </c>
      <c r="D48" s="1949" t="s">
        <v>121</v>
      </c>
      <c r="E48" s="1948" t="s">
        <v>8</v>
      </c>
      <c r="F48" s="1949" t="s">
        <v>120</v>
      </c>
      <c r="G48" s="1951" t="s">
        <v>8</v>
      </c>
      <c r="H48" s="232" t="s">
        <v>8</v>
      </c>
      <c r="I48" s="28" t="s">
        <v>8</v>
      </c>
      <c r="J48" s="28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15.1406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12</v>
      </c>
      <c r="J1" s="33" t="s">
        <v>13</v>
      </c>
    </row>
    <row r="2" spans="1:10">
      <c r="A2" s="31" t="s">
        <v>8</v>
      </c>
      <c r="B2" s="31" t="s">
        <v>8</v>
      </c>
      <c r="C2" s="31" t="s">
        <v>8</v>
      </c>
      <c r="D2" s="31" t="s">
        <v>8</v>
      </c>
      <c r="E2" s="31" t="s">
        <v>8</v>
      </c>
      <c r="F2" s="31" t="s">
        <v>8</v>
      </c>
      <c r="G2" s="31" t="s">
        <v>8</v>
      </c>
      <c r="H2" s="31" t="s">
        <v>8</v>
      </c>
      <c r="I2" s="31" t="s">
        <v>8</v>
      </c>
      <c r="J2" s="31" t="s">
        <v>8</v>
      </c>
    </row>
    <row r="3" spans="1:10" ht="15.75" thickBot="1">
      <c r="A3" s="31" t="s">
        <v>8</v>
      </c>
      <c r="B3" s="31" t="s">
        <v>8</v>
      </c>
      <c r="C3" s="31" t="s">
        <v>8</v>
      </c>
      <c r="D3" s="31" t="s">
        <v>8</v>
      </c>
      <c r="E3" s="31" t="s">
        <v>8</v>
      </c>
      <c r="F3" s="31" t="s">
        <v>8</v>
      </c>
      <c r="G3" s="31" t="s">
        <v>8</v>
      </c>
      <c r="H3" s="31" t="s">
        <v>8</v>
      </c>
      <c r="I3" s="31" t="s">
        <v>8</v>
      </c>
      <c r="J3" s="31" t="s">
        <v>8</v>
      </c>
    </row>
    <row r="4" spans="1:10" ht="16.5" thickTop="1" thickBot="1">
      <c r="A4" s="31" t="s">
        <v>8</v>
      </c>
      <c r="B4" s="31" t="s">
        <v>14</v>
      </c>
      <c r="C4" s="31" t="s">
        <v>8</v>
      </c>
      <c r="D4" s="256" t="s">
        <v>15</v>
      </c>
      <c r="E4" s="31" t="s">
        <v>16</v>
      </c>
      <c r="F4" s="256" t="s">
        <v>147</v>
      </c>
      <c r="G4" s="31" t="s">
        <v>8</v>
      </c>
      <c r="H4" s="31" t="s">
        <v>8</v>
      </c>
      <c r="I4" s="31" t="s">
        <v>8</v>
      </c>
      <c r="J4" s="31" t="s">
        <v>8</v>
      </c>
    </row>
    <row r="5" spans="1:10" ht="16.5" thickTop="1" thickBot="1">
      <c r="A5" s="31" t="s">
        <v>8</v>
      </c>
      <c r="B5" s="31" t="s">
        <v>8</v>
      </c>
      <c r="C5" s="31" t="s">
        <v>8</v>
      </c>
      <c r="D5" s="31" t="s">
        <v>8</v>
      </c>
      <c r="E5" s="31" t="s">
        <v>8</v>
      </c>
      <c r="F5" s="31" t="s">
        <v>8</v>
      </c>
      <c r="G5" s="31" t="s">
        <v>8</v>
      </c>
      <c r="H5" s="31" t="s">
        <v>8</v>
      </c>
      <c r="I5" s="31" t="s">
        <v>8</v>
      </c>
      <c r="J5" s="31" t="s">
        <v>8</v>
      </c>
    </row>
    <row r="6" spans="1:10" ht="16.5" thickTop="1" thickBot="1">
      <c r="A6" s="31" t="s">
        <v>8</v>
      </c>
      <c r="B6" s="31" t="s">
        <v>18</v>
      </c>
      <c r="C6" s="31" t="s">
        <v>8</v>
      </c>
      <c r="D6" s="256" t="s">
        <v>19</v>
      </c>
      <c r="E6" s="31" t="s">
        <v>20</v>
      </c>
      <c r="F6" s="256" t="s">
        <v>148</v>
      </c>
      <c r="G6" s="31" t="s">
        <v>8</v>
      </c>
      <c r="H6" s="31" t="s">
        <v>8</v>
      </c>
      <c r="I6" s="31" t="s">
        <v>8</v>
      </c>
      <c r="J6" s="31" t="s">
        <v>8</v>
      </c>
    </row>
    <row r="7" spans="1:10" ht="16.5" thickTop="1" thickBot="1">
      <c r="A7" s="31" t="s">
        <v>8</v>
      </c>
      <c r="B7" s="31" t="s">
        <v>8</v>
      </c>
      <c r="C7" s="31" t="s">
        <v>8</v>
      </c>
      <c r="D7" s="31" t="s">
        <v>8</v>
      </c>
      <c r="E7" s="31" t="s">
        <v>8</v>
      </c>
      <c r="F7" s="31" t="s">
        <v>8</v>
      </c>
      <c r="G7" s="31" t="s">
        <v>8</v>
      </c>
      <c r="H7" s="31" t="s">
        <v>8</v>
      </c>
      <c r="I7" s="31" t="s">
        <v>8</v>
      </c>
      <c r="J7" s="31" t="s">
        <v>8</v>
      </c>
    </row>
    <row r="8" spans="1:10" ht="16.5" thickTop="1" thickBot="1">
      <c r="A8" s="31" t="s">
        <v>8</v>
      </c>
      <c r="B8" s="31" t="s">
        <v>22</v>
      </c>
      <c r="C8" s="31" t="s">
        <v>8</v>
      </c>
      <c r="D8" s="256" t="s">
        <v>11</v>
      </c>
      <c r="E8" s="31" t="s">
        <v>23</v>
      </c>
      <c r="F8" s="256" t="s">
        <v>149</v>
      </c>
      <c r="G8" s="31" t="s">
        <v>8</v>
      </c>
      <c r="H8" s="31" t="s">
        <v>8</v>
      </c>
      <c r="I8" s="31" t="s">
        <v>8</v>
      </c>
      <c r="J8" s="31" t="s">
        <v>8</v>
      </c>
    </row>
    <row r="9" spans="1:10" ht="16.5" thickTop="1" thickBot="1">
      <c r="A9" s="31" t="s">
        <v>8</v>
      </c>
      <c r="B9" s="31" t="s">
        <v>8</v>
      </c>
      <c r="C9" s="31" t="s">
        <v>8</v>
      </c>
      <c r="D9" s="31" t="s">
        <v>8</v>
      </c>
      <c r="E9" s="31" t="s">
        <v>8</v>
      </c>
      <c r="F9" s="31" t="s">
        <v>8</v>
      </c>
      <c r="G9" s="31" t="s">
        <v>8</v>
      </c>
      <c r="H9" s="31" t="s">
        <v>8</v>
      </c>
      <c r="I9" s="31" t="s">
        <v>8</v>
      </c>
      <c r="J9" s="31" t="s">
        <v>8</v>
      </c>
    </row>
    <row r="10" spans="1:10" ht="16.5" thickTop="1" thickBot="1">
      <c r="A10" s="31" t="s">
        <v>8</v>
      </c>
      <c r="B10" s="31" t="s">
        <v>25</v>
      </c>
      <c r="C10" s="31" t="s">
        <v>8</v>
      </c>
      <c r="D10" s="256" t="s">
        <v>26</v>
      </c>
      <c r="E10" s="31" t="s">
        <v>8</v>
      </c>
      <c r="F10" s="31" t="s">
        <v>8</v>
      </c>
      <c r="G10" s="31" t="s">
        <v>8</v>
      </c>
      <c r="H10" s="31" t="s">
        <v>8</v>
      </c>
      <c r="I10" s="31" t="s">
        <v>8</v>
      </c>
      <c r="J10" s="31" t="s">
        <v>8</v>
      </c>
    </row>
    <row r="11" spans="1:10" ht="16.5" thickTop="1" thickBot="1">
      <c r="A11" s="31" t="s">
        <v>8</v>
      </c>
      <c r="B11" s="31" t="s">
        <v>8</v>
      </c>
      <c r="C11" s="31" t="s">
        <v>8</v>
      </c>
      <c r="D11" s="31" t="s">
        <v>8</v>
      </c>
      <c r="E11" s="31" t="s">
        <v>8</v>
      </c>
      <c r="F11" s="31" t="s">
        <v>8</v>
      </c>
      <c r="G11" s="31" t="s">
        <v>8</v>
      </c>
      <c r="H11" s="31" t="s">
        <v>8</v>
      </c>
      <c r="I11" s="31" t="s">
        <v>8</v>
      </c>
      <c r="J11" s="31" t="s">
        <v>8</v>
      </c>
    </row>
    <row r="12" spans="1:10" ht="16.5" thickTop="1" thickBot="1">
      <c r="A12" s="31" t="s">
        <v>8</v>
      </c>
      <c r="B12" s="257" t="s">
        <v>8</v>
      </c>
      <c r="C12" s="258" t="s">
        <v>8</v>
      </c>
      <c r="D12" s="258" t="s">
        <v>8</v>
      </c>
      <c r="E12" s="258" t="s">
        <v>8</v>
      </c>
      <c r="F12" s="258" t="s">
        <v>8</v>
      </c>
      <c r="G12" s="258" t="s">
        <v>8</v>
      </c>
      <c r="H12" s="259" t="s">
        <v>8</v>
      </c>
      <c r="I12" s="31" t="s">
        <v>8</v>
      </c>
      <c r="J12" s="31" t="s">
        <v>8</v>
      </c>
    </row>
    <row r="13" spans="1:10" ht="16.5" thickTop="1" thickBot="1">
      <c r="A13" s="31" t="s">
        <v>8</v>
      </c>
      <c r="B13" s="260" t="s">
        <v>8</v>
      </c>
      <c r="C13" s="255" t="s">
        <v>27</v>
      </c>
      <c r="D13" s="261" t="s">
        <v>28</v>
      </c>
      <c r="E13" s="270">
        <v>703521.11</v>
      </c>
      <c r="F13" s="261" t="s">
        <v>8</v>
      </c>
      <c r="G13" s="261" t="s">
        <v>8</v>
      </c>
      <c r="H13" s="262" t="s">
        <v>8</v>
      </c>
      <c r="I13" s="31" t="s">
        <v>29</v>
      </c>
      <c r="J13" s="31" t="s">
        <v>8</v>
      </c>
    </row>
    <row r="14" spans="1:10" ht="16.5" thickTop="1" thickBot="1">
      <c r="A14" s="31" t="s">
        <v>8</v>
      </c>
      <c r="B14" s="31" t="s">
        <v>8</v>
      </c>
      <c r="C14" s="31" t="s">
        <v>8</v>
      </c>
      <c r="D14" s="31" t="s">
        <v>8</v>
      </c>
      <c r="E14" s="31" t="s">
        <v>8</v>
      </c>
      <c r="F14" s="31" t="s">
        <v>8</v>
      </c>
      <c r="G14" s="31" t="s">
        <v>8</v>
      </c>
      <c r="H14" s="31" t="s">
        <v>8</v>
      </c>
      <c r="I14" s="31" t="s">
        <v>8</v>
      </c>
      <c r="J14" s="31" t="s">
        <v>8</v>
      </c>
    </row>
    <row r="15" spans="1:10" ht="16.5" thickTop="1" thickBot="1">
      <c r="A15" s="31" t="s">
        <v>8</v>
      </c>
      <c r="B15" s="256" t="s">
        <v>30</v>
      </c>
      <c r="C15" s="255" t="s">
        <v>31</v>
      </c>
      <c r="D15" s="255" t="s">
        <v>32</v>
      </c>
      <c r="E15" s="255" t="s">
        <v>33</v>
      </c>
      <c r="F15" s="255" t="s">
        <v>34</v>
      </c>
      <c r="G15" s="255" t="s">
        <v>35</v>
      </c>
      <c r="H15" s="255" t="s">
        <v>36</v>
      </c>
      <c r="I15" s="31" t="s">
        <v>8</v>
      </c>
      <c r="J15" s="31" t="s">
        <v>8</v>
      </c>
    </row>
    <row r="16" spans="1:10" ht="16.5" thickTop="1" thickBot="1">
      <c r="A16" s="31" t="s">
        <v>8</v>
      </c>
      <c r="B16" s="31" t="s">
        <v>8</v>
      </c>
      <c r="C16" s="31" t="s">
        <v>8</v>
      </c>
      <c r="D16" s="31" t="s">
        <v>8</v>
      </c>
      <c r="E16" s="31" t="s">
        <v>8</v>
      </c>
      <c r="F16" s="31" t="s">
        <v>8</v>
      </c>
      <c r="G16" s="31" t="s">
        <v>8</v>
      </c>
      <c r="H16" s="31" t="s">
        <v>8</v>
      </c>
      <c r="I16" s="31" t="s">
        <v>8</v>
      </c>
      <c r="J16" s="31" t="s">
        <v>8</v>
      </c>
    </row>
    <row r="17" spans="1:10" ht="15.75" thickTop="1">
      <c r="A17" s="31" t="s">
        <v>8</v>
      </c>
      <c r="B17" s="272" t="s">
        <v>8</v>
      </c>
      <c r="C17" s="272" t="s">
        <v>8</v>
      </c>
      <c r="D17" s="277" t="s">
        <v>37</v>
      </c>
      <c r="E17" s="272" t="s">
        <v>8</v>
      </c>
      <c r="F17" s="272" t="s">
        <v>8</v>
      </c>
      <c r="G17" s="272" t="s">
        <v>8</v>
      </c>
      <c r="H17" s="259" t="s">
        <v>8</v>
      </c>
      <c r="I17" s="31" t="s">
        <v>8</v>
      </c>
      <c r="J17" s="31" t="s">
        <v>8</v>
      </c>
    </row>
    <row r="18" spans="1:10">
      <c r="A18" s="31" t="s">
        <v>8</v>
      </c>
      <c r="B18" s="273" t="s">
        <v>8</v>
      </c>
      <c r="C18" s="275" t="s">
        <v>8</v>
      </c>
      <c r="D18" s="275" t="s">
        <v>8</v>
      </c>
      <c r="E18" s="279" t="s">
        <v>8</v>
      </c>
      <c r="F18" s="275" t="s">
        <v>8</v>
      </c>
      <c r="G18" s="281" t="s">
        <v>8</v>
      </c>
      <c r="H18" s="267" t="s">
        <v>8</v>
      </c>
      <c r="I18" s="31" t="s">
        <v>8</v>
      </c>
      <c r="J18" s="31" t="s">
        <v>8</v>
      </c>
    </row>
    <row r="19" spans="1:10">
      <c r="A19" s="31" t="s">
        <v>8</v>
      </c>
      <c r="B19" s="273" t="s">
        <v>8</v>
      </c>
      <c r="C19" s="275" t="s">
        <v>8</v>
      </c>
      <c r="D19" s="275" t="s">
        <v>8</v>
      </c>
      <c r="E19" s="279" t="s">
        <v>8</v>
      </c>
      <c r="F19" s="275" t="s">
        <v>8</v>
      </c>
      <c r="G19" s="281" t="s">
        <v>8</v>
      </c>
      <c r="H19" s="267" t="s">
        <v>8</v>
      </c>
      <c r="I19" s="31" t="s">
        <v>8</v>
      </c>
      <c r="J19" s="31" t="s">
        <v>8</v>
      </c>
    </row>
    <row r="20" spans="1:10" ht="15.75" thickBot="1">
      <c r="A20" s="31" t="s">
        <v>8</v>
      </c>
      <c r="B20" s="274" t="s">
        <v>8</v>
      </c>
      <c r="C20" s="276" t="s">
        <v>8</v>
      </c>
      <c r="D20" s="278" t="s">
        <v>51</v>
      </c>
      <c r="E20" s="280">
        <f>SUM($E$18:$E$19)</f>
        <v>0</v>
      </c>
      <c r="F20" s="276" t="s">
        <v>8</v>
      </c>
      <c r="G20" s="282" t="s">
        <v>8</v>
      </c>
      <c r="H20" s="262" t="s">
        <v>8</v>
      </c>
      <c r="I20" s="31" t="s">
        <v>8</v>
      </c>
      <c r="J20" s="31" t="s">
        <v>8</v>
      </c>
    </row>
    <row r="21" spans="1:10" ht="15.75" thickTop="1">
      <c r="A21" s="31" t="s">
        <v>8</v>
      </c>
      <c r="B21" s="264" t="s">
        <v>8</v>
      </c>
      <c r="C21" s="31" t="s">
        <v>8</v>
      </c>
      <c r="D21" s="31" t="s">
        <v>8</v>
      </c>
      <c r="E21" s="32" t="s">
        <v>8</v>
      </c>
      <c r="F21" s="31" t="s">
        <v>8</v>
      </c>
      <c r="G21" s="263" t="s">
        <v>8</v>
      </c>
      <c r="H21" s="31" t="s">
        <v>8</v>
      </c>
      <c r="I21" s="31" t="s">
        <v>8</v>
      </c>
      <c r="J21" s="31" t="s">
        <v>8</v>
      </c>
    </row>
    <row r="22" spans="1:10" ht="15.75" thickBot="1">
      <c r="A22" s="31" t="s">
        <v>8</v>
      </c>
      <c r="B22" s="264" t="s">
        <v>8</v>
      </c>
      <c r="C22" s="31" t="s">
        <v>8</v>
      </c>
      <c r="D22" s="31" t="s">
        <v>8</v>
      </c>
      <c r="E22" s="32" t="s">
        <v>8</v>
      </c>
      <c r="F22" s="31" t="s">
        <v>8</v>
      </c>
      <c r="G22" s="263" t="s">
        <v>8</v>
      </c>
      <c r="H22" s="31" t="s">
        <v>8</v>
      </c>
      <c r="I22" s="31" t="s">
        <v>8</v>
      </c>
      <c r="J22" s="31" t="s">
        <v>8</v>
      </c>
    </row>
    <row r="23" spans="1:10" ht="15.75" thickTop="1">
      <c r="A23" s="31" t="s">
        <v>8</v>
      </c>
      <c r="B23" s="286" t="s">
        <v>8</v>
      </c>
      <c r="C23" s="272" t="s">
        <v>8</v>
      </c>
      <c r="D23" s="277" t="s">
        <v>52</v>
      </c>
      <c r="E23" s="287" t="s">
        <v>8</v>
      </c>
      <c r="F23" s="272" t="s">
        <v>8</v>
      </c>
      <c r="G23" s="288" t="s">
        <v>8</v>
      </c>
      <c r="H23" s="259" t="s">
        <v>8</v>
      </c>
      <c r="I23" s="31" t="s">
        <v>8</v>
      </c>
      <c r="J23" s="31" t="s">
        <v>8</v>
      </c>
    </row>
    <row r="24" spans="1:10">
      <c r="A24" s="31" t="s">
        <v>8</v>
      </c>
      <c r="B24" s="273" t="s">
        <v>8</v>
      </c>
      <c r="C24" s="275" t="s">
        <v>8</v>
      </c>
      <c r="D24" s="275" t="s">
        <v>8</v>
      </c>
      <c r="E24" s="279" t="s">
        <v>8</v>
      </c>
      <c r="F24" s="275" t="s">
        <v>8</v>
      </c>
      <c r="G24" s="281" t="s">
        <v>8</v>
      </c>
      <c r="H24" s="267" t="s">
        <v>8</v>
      </c>
      <c r="I24" s="31" t="s">
        <v>8</v>
      </c>
      <c r="J24" s="31" t="s">
        <v>8</v>
      </c>
    </row>
    <row r="25" spans="1:10">
      <c r="A25" s="31" t="s">
        <v>8</v>
      </c>
      <c r="B25" s="273" t="s">
        <v>8</v>
      </c>
      <c r="C25" s="275" t="s">
        <v>8</v>
      </c>
      <c r="D25" s="275" t="s">
        <v>8</v>
      </c>
      <c r="E25" s="279" t="s">
        <v>8</v>
      </c>
      <c r="F25" s="275" t="s">
        <v>8</v>
      </c>
      <c r="G25" s="281" t="s">
        <v>8</v>
      </c>
      <c r="H25" s="267" t="s">
        <v>8</v>
      </c>
      <c r="I25" s="31" t="s">
        <v>8</v>
      </c>
      <c r="J25" s="31" t="s">
        <v>8</v>
      </c>
    </row>
    <row r="26" spans="1:10" ht="15.75" thickBot="1">
      <c r="A26" s="31" t="s">
        <v>8</v>
      </c>
      <c r="B26" s="274" t="s">
        <v>8</v>
      </c>
      <c r="C26" s="276" t="s">
        <v>8</v>
      </c>
      <c r="D26" s="278" t="s">
        <v>51</v>
      </c>
      <c r="E26" s="280">
        <f>SUM($E$24:$E$25)</f>
        <v>0</v>
      </c>
      <c r="F26" s="276" t="s">
        <v>8</v>
      </c>
      <c r="G26" s="282" t="s">
        <v>8</v>
      </c>
      <c r="H26" s="262" t="s">
        <v>8</v>
      </c>
      <c r="I26" s="31" t="s">
        <v>8</v>
      </c>
      <c r="J26" s="31" t="s">
        <v>8</v>
      </c>
    </row>
    <row r="27" spans="1:10" ht="15.75" thickTop="1">
      <c r="A27" s="31" t="s">
        <v>8</v>
      </c>
      <c r="B27" s="264" t="s">
        <v>8</v>
      </c>
      <c r="C27" s="31" t="s">
        <v>8</v>
      </c>
      <c r="D27" s="31" t="s">
        <v>8</v>
      </c>
      <c r="E27" s="32" t="s">
        <v>8</v>
      </c>
      <c r="F27" s="31" t="s">
        <v>8</v>
      </c>
      <c r="G27" s="263" t="s">
        <v>8</v>
      </c>
      <c r="H27" s="31" t="s">
        <v>8</v>
      </c>
      <c r="I27" s="31" t="s">
        <v>8</v>
      </c>
      <c r="J27" s="31" t="s">
        <v>8</v>
      </c>
    </row>
    <row r="28" spans="1:10" ht="15.75" thickBot="1">
      <c r="A28" s="31" t="s">
        <v>8</v>
      </c>
      <c r="B28" s="264" t="s">
        <v>8</v>
      </c>
      <c r="C28" s="31" t="s">
        <v>8</v>
      </c>
      <c r="D28" s="31" t="s">
        <v>8</v>
      </c>
      <c r="E28" s="32" t="s">
        <v>8</v>
      </c>
      <c r="F28" s="31" t="s">
        <v>8</v>
      </c>
      <c r="G28" s="263" t="s">
        <v>8</v>
      </c>
      <c r="H28" s="31" t="s">
        <v>8</v>
      </c>
      <c r="I28" s="31" t="s">
        <v>8</v>
      </c>
      <c r="J28" s="31" t="s">
        <v>8</v>
      </c>
    </row>
    <row r="29" spans="1:10" ht="15.75" thickTop="1">
      <c r="A29" s="31" t="s">
        <v>8</v>
      </c>
      <c r="B29" s="286" t="s">
        <v>8</v>
      </c>
      <c r="C29" s="272" t="s">
        <v>8</v>
      </c>
      <c r="D29" s="277" t="s">
        <v>85</v>
      </c>
      <c r="E29" s="287" t="s">
        <v>8</v>
      </c>
      <c r="F29" s="272" t="s">
        <v>8</v>
      </c>
      <c r="G29" s="288" t="s">
        <v>8</v>
      </c>
      <c r="H29" s="259" t="s">
        <v>8</v>
      </c>
      <c r="I29" s="31" t="s">
        <v>8</v>
      </c>
      <c r="J29" s="31" t="s">
        <v>8</v>
      </c>
    </row>
    <row r="30" spans="1:10">
      <c r="A30" s="31" t="s">
        <v>8</v>
      </c>
      <c r="B30" s="273" t="s">
        <v>8</v>
      </c>
      <c r="C30" s="275" t="s">
        <v>8</v>
      </c>
      <c r="D30" s="275" t="s">
        <v>8</v>
      </c>
      <c r="E30" s="279" t="s">
        <v>8</v>
      </c>
      <c r="F30" s="275" t="s">
        <v>8</v>
      </c>
      <c r="G30" s="281" t="s">
        <v>8</v>
      </c>
      <c r="H30" s="267" t="s">
        <v>8</v>
      </c>
      <c r="I30" s="31" t="s">
        <v>8</v>
      </c>
      <c r="J30" s="31" t="s">
        <v>8</v>
      </c>
    </row>
    <row r="31" spans="1:10">
      <c r="A31" s="31" t="s">
        <v>8</v>
      </c>
      <c r="B31" s="273" t="s">
        <v>8</v>
      </c>
      <c r="C31" s="275" t="s">
        <v>8</v>
      </c>
      <c r="D31" s="275" t="s">
        <v>8</v>
      </c>
      <c r="E31" s="279" t="s">
        <v>8</v>
      </c>
      <c r="F31" s="275" t="s">
        <v>8</v>
      </c>
      <c r="G31" s="281" t="s">
        <v>8</v>
      </c>
      <c r="H31" s="267" t="s">
        <v>8</v>
      </c>
      <c r="I31" s="31" t="s">
        <v>8</v>
      </c>
      <c r="J31" s="31" t="s">
        <v>8</v>
      </c>
    </row>
    <row r="32" spans="1:10" ht="15.75" thickBot="1">
      <c r="A32" s="31" t="s">
        <v>8</v>
      </c>
      <c r="B32" s="274" t="s">
        <v>8</v>
      </c>
      <c r="C32" s="276" t="s">
        <v>8</v>
      </c>
      <c r="D32" s="278" t="s">
        <v>51</v>
      </c>
      <c r="E32" s="280">
        <f>SUM($E$30:$E$31)</f>
        <v>0</v>
      </c>
      <c r="F32" s="276" t="s">
        <v>8</v>
      </c>
      <c r="G32" s="282" t="s">
        <v>8</v>
      </c>
      <c r="H32" s="262" t="s">
        <v>8</v>
      </c>
      <c r="I32" s="31" t="s">
        <v>8</v>
      </c>
      <c r="J32" s="31" t="s">
        <v>8</v>
      </c>
    </row>
    <row r="33" spans="1:10" ht="15.75" thickTop="1">
      <c r="A33" s="31" t="s">
        <v>8</v>
      </c>
      <c r="B33" s="264" t="s">
        <v>8</v>
      </c>
      <c r="C33" s="31" t="s">
        <v>8</v>
      </c>
      <c r="D33" s="31" t="s">
        <v>8</v>
      </c>
      <c r="E33" s="32" t="s">
        <v>8</v>
      </c>
      <c r="F33" s="31" t="s">
        <v>8</v>
      </c>
      <c r="G33" s="263" t="s">
        <v>8</v>
      </c>
      <c r="H33" s="31" t="s">
        <v>8</v>
      </c>
      <c r="I33" s="31" t="s">
        <v>8</v>
      </c>
      <c r="J33" s="31" t="s">
        <v>8</v>
      </c>
    </row>
    <row r="34" spans="1:10" ht="15.75" thickBot="1">
      <c r="A34" s="31" t="s">
        <v>8</v>
      </c>
      <c r="B34" s="264" t="s">
        <v>8</v>
      </c>
      <c r="C34" s="31" t="s">
        <v>8</v>
      </c>
      <c r="D34" s="31" t="s">
        <v>8</v>
      </c>
      <c r="E34" s="32" t="s">
        <v>8</v>
      </c>
      <c r="F34" s="31" t="s">
        <v>8</v>
      </c>
      <c r="G34" s="263" t="s">
        <v>8</v>
      </c>
      <c r="H34" s="31" t="s">
        <v>8</v>
      </c>
      <c r="I34" s="31" t="s">
        <v>8</v>
      </c>
      <c r="J34" s="31" t="s">
        <v>8</v>
      </c>
    </row>
    <row r="35" spans="1:10" ht="15.75" thickTop="1">
      <c r="A35" s="31" t="s">
        <v>8</v>
      </c>
      <c r="B35" s="286" t="s">
        <v>8</v>
      </c>
      <c r="C35" s="272" t="s">
        <v>8</v>
      </c>
      <c r="D35" s="277" t="s">
        <v>95</v>
      </c>
      <c r="E35" s="287" t="s">
        <v>8</v>
      </c>
      <c r="F35" s="272" t="s">
        <v>8</v>
      </c>
      <c r="G35" s="288" t="s">
        <v>8</v>
      </c>
      <c r="H35" s="259" t="s">
        <v>8</v>
      </c>
      <c r="I35" s="31" t="s">
        <v>8</v>
      </c>
      <c r="J35" s="31" t="s">
        <v>8</v>
      </c>
    </row>
    <row r="36" spans="1:10">
      <c r="A36" s="31" t="s">
        <v>8</v>
      </c>
      <c r="B36" s="273" t="s">
        <v>8</v>
      </c>
      <c r="C36" s="275" t="s">
        <v>8</v>
      </c>
      <c r="D36" s="275" t="s">
        <v>8</v>
      </c>
      <c r="E36" s="279" t="s">
        <v>8</v>
      </c>
      <c r="F36" s="275" t="s">
        <v>8</v>
      </c>
      <c r="G36" s="281" t="s">
        <v>8</v>
      </c>
      <c r="H36" s="267" t="s">
        <v>8</v>
      </c>
      <c r="I36" s="31" t="s">
        <v>8</v>
      </c>
      <c r="J36" s="31" t="s">
        <v>8</v>
      </c>
    </row>
    <row r="37" spans="1:10">
      <c r="A37" s="31" t="s">
        <v>8</v>
      </c>
      <c r="B37" s="273" t="s">
        <v>8</v>
      </c>
      <c r="C37" s="275" t="s">
        <v>8</v>
      </c>
      <c r="D37" s="275" t="s">
        <v>8</v>
      </c>
      <c r="E37" s="279" t="s">
        <v>8</v>
      </c>
      <c r="F37" s="275" t="s">
        <v>8</v>
      </c>
      <c r="G37" s="281" t="s">
        <v>8</v>
      </c>
      <c r="H37" s="267" t="s">
        <v>8</v>
      </c>
      <c r="I37" s="31" t="s">
        <v>8</v>
      </c>
      <c r="J37" s="31" t="s">
        <v>8</v>
      </c>
    </row>
    <row r="38" spans="1:10" ht="15.75" thickBot="1">
      <c r="A38" s="31" t="s">
        <v>8</v>
      </c>
      <c r="B38" s="274" t="s">
        <v>8</v>
      </c>
      <c r="C38" s="276" t="s">
        <v>8</v>
      </c>
      <c r="D38" s="278" t="s">
        <v>51</v>
      </c>
      <c r="E38" s="280">
        <f>SUM($E$36:$E$37)</f>
        <v>0</v>
      </c>
      <c r="F38" s="276" t="s">
        <v>8</v>
      </c>
      <c r="G38" s="282" t="s">
        <v>8</v>
      </c>
      <c r="H38" s="262" t="s">
        <v>8</v>
      </c>
      <c r="I38" s="31" t="s">
        <v>8</v>
      </c>
      <c r="J38" s="31" t="s">
        <v>8</v>
      </c>
    </row>
    <row r="39" spans="1:10" ht="16.5" thickTop="1" thickBot="1">
      <c r="A39" s="31" t="s">
        <v>8</v>
      </c>
      <c r="B39" s="264" t="s">
        <v>8</v>
      </c>
      <c r="C39" s="31" t="s">
        <v>8</v>
      </c>
      <c r="D39" s="31" t="s">
        <v>8</v>
      </c>
      <c r="E39" s="32" t="s">
        <v>8</v>
      </c>
      <c r="F39" s="31" t="s">
        <v>8</v>
      </c>
      <c r="G39" s="263" t="s">
        <v>8</v>
      </c>
      <c r="H39" s="31" t="s">
        <v>8</v>
      </c>
      <c r="I39" s="31" t="s">
        <v>8</v>
      </c>
      <c r="J39" s="31" t="s">
        <v>8</v>
      </c>
    </row>
    <row r="40" spans="1:10" ht="15.75" thickTop="1">
      <c r="A40" s="31" t="s">
        <v>8</v>
      </c>
      <c r="B40" s="283" t="s">
        <v>8</v>
      </c>
      <c r="C40" s="258" t="s">
        <v>8</v>
      </c>
      <c r="D40" s="258" t="s">
        <v>8</v>
      </c>
      <c r="E40" s="284" t="s">
        <v>8</v>
      </c>
      <c r="F40" s="258" t="s">
        <v>8</v>
      </c>
      <c r="G40" s="285" t="s">
        <v>8</v>
      </c>
      <c r="H40" s="259" t="s">
        <v>8</v>
      </c>
      <c r="I40" s="31" t="s">
        <v>8</v>
      </c>
      <c r="J40" s="31" t="s">
        <v>8</v>
      </c>
    </row>
    <row r="41" spans="1:10">
      <c r="A41" s="31" t="s">
        <v>8</v>
      </c>
      <c r="B41" s="266" t="s">
        <v>8</v>
      </c>
      <c r="C41" s="1952" t="s">
        <v>8</v>
      </c>
      <c r="D41" s="1954" t="s">
        <v>114</v>
      </c>
      <c r="E41" s="1953">
        <f>ABS(E13+$E$20-$E$38+$E$26-$E$32)</f>
        <v>703521.11</v>
      </c>
      <c r="F41" s="1952" t="s">
        <v>8</v>
      </c>
      <c r="G41" s="1956" t="s">
        <v>8</v>
      </c>
      <c r="H41" s="267" t="s">
        <v>8</v>
      </c>
      <c r="I41" s="31" t="s">
        <v>8</v>
      </c>
      <c r="J41" s="31" t="s">
        <v>8</v>
      </c>
    </row>
    <row r="42" spans="1:10">
      <c r="A42" s="31" t="s">
        <v>8</v>
      </c>
      <c r="B42" s="266" t="s">
        <v>8</v>
      </c>
      <c r="C42" s="1952" t="s">
        <v>8</v>
      </c>
      <c r="D42" s="1954" t="s">
        <v>115</v>
      </c>
      <c r="E42" s="1953">
        <v>703521.11</v>
      </c>
      <c r="F42" s="1952" t="s">
        <v>8</v>
      </c>
      <c r="G42" s="1956" t="s">
        <v>8</v>
      </c>
      <c r="H42" s="267" t="s">
        <v>8</v>
      </c>
      <c r="I42" s="31" t="s">
        <v>116</v>
      </c>
      <c r="J42" s="31" t="s">
        <v>8</v>
      </c>
    </row>
    <row r="43" spans="1:10" ht="15.75" thickBot="1">
      <c r="A43" s="31" t="s">
        <v>8</v>
      </c>
      <c r="B43" s="268" t="s">
        <v>8</v>
      </c>
      <c r="C43" s="261" t="s">
        <v>8</v>
      </c>
      <c r="D43" s="269" t="s">
        <v>117</v>
      </c>
      <c r="E43" s="270">
        <f>$E$42-$E$41</f>
        <v>0</v>
      </c>
      <c r="F43" s="261" t="s">
        <v>8</v>
      </c>
      <c r="G43" s="271" t="s">
        <v>8</v>
      </c>
      <c r="H43" s="262" t="s">
        <v>8</v>
      </c>
      <c r="I43" s="31" t="s">
        <v>8</v>
      </c>
      <c r="J43" s="31" t="s">
        <v>8</v>
      </c>
    </row>
    <row r="44" spans="1:10" ht="16.5" thickTop="1" thickBot="1">
      <c r="A44" s="31" t="s">
        <v>8</v>
      </c>
      <c r="B44" s="264" t="s">
        <v>8</v>
      </c>
      <c r="C44" s="31" t="s">
        <v>8</v>
      </c>
      <c r="D44" s="31" t="s">
        <v>8</v>
      </c>
      <c r="E44" s="32" t="s">
        <v>8</v>
      </c>
      <c r="F44" s="31" t="s">
        <v>8</v>
      </c>
      <c r="G44" s="263" t="s">
        <v>8</v>
      </c>
      <c r="H44" s="31" t="s">
        <v>8</v>
      </c>
      <c r="I44" s="31" t="s">
        <v>8</v>
      </c>
      <c r="J44" s="31" t="s">
        <v>8</v>
      </c>
    </row>
    <row r="45" spans="1:10" ht="15.75" thickTop="1">
      <c r="A45" s="31" t="s">
        <v>8</v>
      </c>
      <c r="B45" s="283" t="s">
        <v>8</v>
      </c>
      <c r="C45" s="258" t="s">
        <v>8</v>
      </c>
      <c r="D45" s="265" t="s">
        <v>118</v>
      </c>
      <c r="E45" s="289" t="s">
        <v>119</v>
      </c>
      <c r="F45" s="265" t="s">
        <v>120</v>
      </c>
      <c r="G45" s="285">
        <v>45981</v>
      </c>
      <c r="H45" s="259" t="s">
        <v>8</v>
      </c>
      <c r="I45" s="31" t="s">
        <v>8</v>
      </c>
      <c r="J45" s="31" t="s">
        <v>8</v>
      </c>
    </row>
    <row r="46" spans="1:10">
      <c r="A46" s="31" t="s">
        <v>8</v>
      </c>
      <c r="B46" s="266" t="s">
        <v>8</v>
      </c>
      <c r="C46" s="1952" t="s">
        <v>8</v>
      </c>
      <c r="D46" s="1952" t="s">
        <v>8</v>
      </c>
      <c r="E46" s="1955" t="s">
        <v>8</v>
      </c>
      <c r="F46" s="1952" t="s">
        <v>8</v>
      </c>
      <c r="G46" s="1956" t="s">
        <v>8</v>
      </c>
      <c r="H46" s="267" t="s">
        <v>8</v>
      </c>
      <c r="I46" s="31" t="s">
        <v>8</v>
      </c>
      <c r="J46" s="31" t="s">
        <v>8</v>
      </c>
    </row>
    <row r="47" spans="1:10">
      <c r="A47" s="31" t="s">
        <v>8</v>
      </c>
      <c r="B47" s="266" t="s">
        <v>8</v>
      </c>
      <c r="C47" s="1952" t="s">
        <v>8</v>
      </c>
      <c r="D47" s="1952" t="s">
        <v>8</v>
      </c>
      <c r="E47" s="1955" t="s">
        <v>8</v>
      </c>
      <c r="F47" s="1952" t="s">
        <v>8</v>
      </c>
      <c r="G47" s="1956" t="s">
        <v>8</v>
      </c>
      <c r="H47" s="267" t="s">
        <v>8</v>
      </c>
      <c r="I47" s="31" t="s">
        <v>8</v>
      </c>
      <c r="J47" s="31" t="s">
        <v>8</v>
      </c>
    </row>
    <row r="48" spans="1:10">
      <c r="A48" s="31" t="s">
        <v>8</v>
      </c>
      <c r="B48" s="266" t="s">
        <v>8</v>
      </c>
      <c r="C48" s="1952" t="s">
        <v>8</v>
      </c>
      <c r="D48" s="1954" t="s">
        <v>121</v>
      </c>
      <c r="E48" s="1953" t="s">
        <v>8</v>
      </c>
      <c r="F48" s="1954" t="s">
        <v>120</v>
      </c>
      <c r="G48" s="1956" t="s">
        <v>8</v>
      </c>
      <c r="H48" s="267" t="s">
        <v>8</v>
      </c>
      <c r="I48" s="31" t="s">
        <v>8</v>
      </c>
      <c r="J48" s="31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>
      <selection activeCell="H8" sqref="H8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19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  <col min="11" max="12" width="9" customWidth="1"/>
  </cols>
  <sheetData>
    <row r="1" spans="1:10">
      <c r="A1" s="1845" t="s">
        <v>0</v>
      </c>
      <c r="B1" s="1845" t="s">
        <v>1</v>
      </c>
      <c r="C1" s="1845" t="s">
        <v>2</v>
      </c>
      <c r="D1" s="1845" t="s">
        <v>3</v>
      </c>
      <c r="E1" s="1845" t="s">
        <v>4</v>
      </c>
      <c r="F1" s="1845" t="s">
        <v>5</v>
      </c>
      <c r="G1" s="1845" t="s">
        <v>6</v>
      </c>
      <c r="H1" s="1845" t="s">
        <v>7</v>
      </c>
      <c r="I1" s="1845" t="s">
        <v>12</v>
      </c>
      <c r="J1" s="1845" t="s">
        <v>13</v>
      </c>
    </row>
    <row r="2" spans="1:10">
      <c r="A2" s="1846" t="s">
        <v>8</v>
      </c>
      <c r="B2" s="1846" t="s">
        <v>8</v>
      </c>
      <c r="C2" s="1846" t="s">
        <v>8</v>
      </c>
      <c r="D2" s="1846" t="s">
        <v>8</v>
      </c>
      <c r="E2" s="1846" t="s">
        <v>8</v>
      </c>
      <c r="F2" s="1846" t="s">
        <v>8</v>
      </c>
      <c r="G2" s="1846" t="s">
        <v>8</v>
      </c>
      <c r="H2" s="1846" t="s">
        <v>8</v>
      </c>
      <c r="I2" s="1846" t="s">
        <v>8</v>
      </c>
      <c r="J2" s="1846" t="s">
        <v>8</v>
      </c>
    </row>
    <row r="3" spans="1:10" ht="15.75" thickBot="1">
      <c r="A3" s="1846" t="s">
        <v>8</v>
      </c>
      <c r="B3" s="1846" t="s">
        <v>8</v>
      </c>
      <c r="C3" s="1846" t="s">
        <v>8</v>
      </c>
      <c r="D3" s="1846" t="s">
        <v>8</v>
      </c>
      <c r="E3" s="1846" t="s">
        <v>8</v>
      </c>
      <c r="F3" s="1846" t="s">
        <v>8</v>
      </c>
      <c r="G3" s="1846" t="s">
        <v>8</v>
      </c>
      <c r="H3" s="1846" t="s">
        <v>8</v>
      </c>
      <c r="I3" s="1846" t="s">
        <v>8</v>
      </c>
      <c r="J3" s="1846" t="s">
        <v>8</v>
      </c>
    </row>
    <row r="4" spans="1:10" ht="16.5" thickTop="1" thickBot="1">
      <c r="A4" s="1846" t="s">
        <v>8</v>
      </c>
      <c r="B4" s="1846" t="s">
        <v>14</v>
      </c>
      <c r="C4" s="1846" t="s">
        <v>8</v>
      </c>
      <c r="D4" s="1847" t="s">
        <v>15</v>
      </c>
      <c r="E4" s="1846" t="s">
        <v>16</v>
      </c>
      <c r="F4" s="1847" t="s">
        <v>1095</v>
      </c>
      <c r="G4" s="1846" t="s">
        <v>8</v>
      </c>
      <c r="H4" s="1846" t="s">
        <v>8</v>
      </c>
      <c r="I4" s="1846" t="s">
        <v>8</v>
      </c>
      <c r="J4" s="1846" t="s">
        <v>8</v>
      </c>
    </row>
    <row r="5" spans="1:10" ht="16.5" thickTop="1" thickBot="1">
      <c r="A5" s="1846" t="s">
        <v>8</v>
      </c>
      <c r="B5" s="1846" t="s">
        <v>8</v>
      </c>
      <c r="C5" s="1846" t="s">
        <v>8</v>
      </c>
      <c r="D5" s="1846" t="s">
        <v>8</v>
      </c>
      <c r="E5" s="1846" t="s">
        <v>8</v>
      </c>
      <c r="F5" s="1846" t="s">
        <v>8</v>
      </c>
      <c r="G5" s="1846" t="s">
        <v>8</v>
      </c>
      <c r="H5" s="1846" t="s">
        <v>8</v>
      </c>
      <c r="I5" s="1846" t="s">
        <v>8</v>
      </c>
      <c r="J5" s="1846" t="s">
        <v>8</v>
      </c>
    </row>
    <row r="6" spans="1:10" ht="16.5" thickTop="1" thickBot="1">
      <c r="A6" s="1846" t="s">
        <v>8</v>
      </c>
      <c r="B6" s="1846" t="s">
        <v>18</v>
      </c>
      <c r="C6" s="1846" t="s">
        <v>8</v>
      </c>
      <c r="D6" s="1847" t="s">
        <v>19</v>
      </c>
      <c r="E6" s="1846" t="s">
        <v>20</v>
      </c>
      <c r="F6" s="1847" t="s">
        <v>1096</v>
      </c>
      <c r="G6" s="1846" t="s">
        <v>8</v>
      </c>
      <c r="H6" s="1846" t="s">
        <v>8</v>
      </c>
      <c r="I6" s="1846" t="s">
        <v>8</v>
      </c>
      <c r="J6" s="1846" t="s">
        <v>8</v>
      </c>
    </row>
    <row r="7" spans="1:10" ht="16.5" thickTop="1" thickBot="1">
      <c r="A7" s="1846" t="s">
        <v>8</v>
      </c>
      <c r="B7" s="1846" t="s">
        <v>8</v>
      </c>
      <c r="C7" s="1846" t="s">
        <v>8</v>
      </c>
      <c r="D7" s="1846" t="s">
        <v>8</v>
      </c>
      <c r="E7" s="1846" t="s">
        <v>8</v>
      </c>
      <c r="F7" s="1846" t="s">
        <v>8</v>
      </c>
      <c r="G7" s="1846" t="s">
        <v>8</v>
      </c>
      <c r="H7" s="1846" t="s">
        <v>8</v>
      </c>
      <c r="I7" s="1846" t="s">
        <v>8</v>
      </c>
      <c r="J7" s="1846" t="s">
        <v>8</v>
      </c>
    </row>
    <row r="8" spans="1:10" ht="16.5" thickTop="1" thickBot="1">
      <c r="A8" s="1846" t="s">
        <v>8</v>
      </c>
      <c r="B8" s="1846" t="s">
        <v>22</v>
      </c>
      <c r="C8" s="1846" t="s">
        <v>8</v>
      </c>
      <c r="D8" s="1847" t="s">
        <v>11</v>
      </c>
      <c r="E8" s="1846" t="s">
        <v>23</v>
      </c>
      <c r="F8" s="1847" t="s">
        <v>1097</v>
      </c>
      <c r="G8" s="1846" t="s">
        <v>8</v>
      </c>
      <c r="H8" s="1846" t="s">
        <v>8</v>
      </c>
      <c r="I8" s="1846" t="s">
        <v>8</v>
      </c>
      <c r="J8" s="1846" t="s">
        <v>8</v>
      </c>
    </row>
    <row r="9" spans="1:10" ht="16.5" thickTop="1" thickBot="1">
      <c r="A9" s="1846" t="s">
        <v>8</v>
      </c>
      <c r="B9" s="1846" t="s">
        <v>8</v>
      </c>
      <c r="C9" s="1846" t="s">
        <v>8</v>
      </c>
      <c r="D9" s="1846" t="s">
        <v>8</v>
      </c>
      <c r="E9" s="1846" t="s">
        <v>8</v>
      </c>
      <c r="F9" s="1846" t="s">
        <v>8</v>
      </c>
      <c r="G9" s="1846" t="s">
        <v>8</v>
      </c>
      <c r="H9" s="1846" t="s">
        <v>8</v>
      </c>
      <c r="I9" s="1846" t="s">
        <v>8</v>
      </c>
      <c r="J9" s="1846" t="s">
        <v>8</v>
      </c>
    </row>
    <row r="10" spans="1:10" ht="16.5" thickTop="1" thickBot="1">
      <c r="A10" s="1846" t="s">
        <v>8</v>
      </c>
      <c r="B10" s="1846" t="s">
        <v>25</v>
      </c>
      <c r="C10" s="1846" t="s">
        <v>8</v>
      </c>
      <c r="D10" s="1847" t="s">
        <v>26</v>
      </c>
      <c r="E10" s="1846" t="s">
        <v>8</v>
      </c>
      <c r="F10" s="1846" t="s">
        <v>8</v>
      </c>
      <c r="G10" s="1846" t="s">
        <v>8</v>
      </c>
      <c r="H10" s="1846" t="s">
        <v>8</v>
      </c>
      <c r="I10" s="1846" t="s">
        <v>8</v>
      </c>
      <c r="J10" s="1846" t="s">
        <v>8</v>
      </c>
    </row>
    <row r="11" spans="1:10" ht="16.5" thickTop="1" thickBot="1">
      <c r="A11" s="1846" t="s">
        <v>8</v>
      </c>
      <c r="B11" s="1846" t="s">
        <v>8</v>
      </c>
      <c r="C11" s="1846" t="s">
        <v>8</v>
      </c>
      <c r="D11" s="1846" t="s">
        <v>8</v>
      </c>
      <c r="E11" s="1846" t="s">
        <v>8</v>
      </c>
      <c r="F11" s="1846" t="s">
        <v>8</v>
      </c>
      <c r="G11" s="1846" t="s">
        <v>8</v>
      </c>
      <c r="H11" s="1846" t="s">
        <v>8</v>
      </c>
      <c r="I11" s="1846" t="s">
        <v>8</v>
      </c>
      <c r="J11" s="1846" t="s">
        <v>8</v>
      </c>
    </row>
    <row r="12" spans="1:10" ht="16.5" thickTop="1" thickBot="1">
      <c r="A12" s="1846" t="s">
        <v>8</v>
      </c>
      <c r="B12" s="1848" t="s">
        <v>8</v>
      </c>
      <c r="C12" s="1849" t="s">
        <v>8</v>
      </c>
      <c r="D12" s="1849" t="s">
        <v>8</v>
      </c>
      <c r="E12" s="1849" t="s">
        <v>8</v>
      </c>
      <c r="F12" s="1849" t="s">
        <v>8</v>
      </c>
      <c r="G12" s="1849" t="s">
        <v>8</v>
      </c>
      <c r="H12" s="1850" t="s">
        <v>8</v>
      </c>
      <c r="I12" s="1846" t="s">
        <v>8</v>
      </c>
      <c r="J12" s="1846" t="s">
        <v>8</v>
      </c>
    </row>
    <row r="13" spans="1:10" ht="16.5" thickTop="1" thickBot="1">
      <c r="A13" s="1846" t="s">
        <v>8</v>
      </c>
      <c r="B13" s="1851" t="s">
        <v>8</v>
      </c>
      <c r="C13" s="1852" t="s">
        <v>27</v>
      </c>
      <c r="D13" s="1853" t="s">
        <v>28</v>
      </c>
      <c r="E13" s="1810">
        <v>103818.35</v>
      </c>
      <c r="F13" s="1853" t="s">
        <v>8</v>
      </c>
      <c r="G13" s="1853" t="s">
        <v>8</v>
      </c>
      <c r="H13" s="1854" t="s">
        <v>8</v>
      </c>
      <c r="I13" s="1846" t="s">
        <v>29</v>
      </c>
      <c r="J13" s="1846" t="s">
        <v>8</v>
      </c>
    </row>
    <row r="14" spans="1:10" ht="16.5" thickTop="1" thickBot="1">
      <c r="A14" s="1846" t="s">
        <v>8</v>
      </c>
      <c r="B14" s="1846" t="s">
        <v>8</v>
      </c>
      <c r="C14" s="1846" t="s">
        <v>8</v>
      </c>
      <c r="D14" s="1846" t="s">
        <v>8</v>
      </c>
      <c r="E14" s="1846" t="s">
        <v>8</v>
      </c>
      <c r="F14" s="1846" t="s">
        <v>8</v>
      </c>
      <c r="G14" s="1846" t="s">
        <v>8</v>
      </c>
      <c r="H14" s="1846" t="s">
        <v>8</v>
      </c>
      <c r="I14" s="1846" t="s">
        <v>8</v>
      </c>
      <c r="J14" s="1846" t="s">
        <v>8</v>
      </c>
    </row>
    <row r="15" spans="1:10" ht="16.5" thickTop="1" thickBot="1">
      <c r="A15" s="1846" t="s">
        <v>8</v>
      </c>
      <c r="B15" s="1847" t="s">
        <v>30</v>
      </c>
      <c r="C15" s="1852" t="s">
        <v>31</v>
      </c>
      <c r="D15" s="1852" t="s">
        <v>32</v>
      </c>
      <c r="E15" s="1852" t="s">
        <v>33</v>
      </c>
      <c r="F15" s="1852" t="s">
        <v>34</v>
      </c>
      <c r="G15" s="1852" t="s">
        <v>35</v>
      </c>
      <c r="H15" s="1852" t="s">
        <v>36</v>
      </c>
      <c r="I15" s="1846" t="s">
        <v>8</v>
      </c>
      <c r="J15" s="1846" t="s">
        <v>8</v>
      </c>
    </row>
    <row r="16" spans="1:10" ht="16.5" thickTop="1" thickBot="1">
      <c r="A16" s="1846" t="s">
        <v>8</v>
      </c>
      <c r="B16" s="1846" t="s">
        <v>8</v>
      </c>
      <c r="C16" s="1846" t="s">
        <v>8</v>
      </c>
      <c r="D16" s="1846" t="s">
        <v>8</v>
      </c>
      <c r="E16" s="1846" t="s">
        <v>8</v>
      </c>
      <c r="F16" s="1846" t="s">
        <v>8</v>
      </c>
      <c r="G16" s="1846" t="s">
        <v>8</v>
      </c>
      <c r="H16" s="1846" t="s">
        <v>8</v>
      </c>
      <c r="I16" s="1846" t="s">
        <v>8</v>
      </c>
      <c r="J16" s="1846" t="s">
        <v>8</v>
      </c>
    </row>
    <row r="17" spans="1:10" ht="15.75" thickTop="1">
      <c r="A17" s="1846" t="s">
        <v>8</v>
      </c>
      <c r="B17" s="1855" t="s">
        <v>8</v>
      </c>
      <c r="C17" s="1855" t="s">
        <v>8</v>
      </c>
      <c r="D17" s="1817" t="s">
        <v>37</v>
      </c>
      <c r="E17" s="1855" t="s">
        <v>8</v>
      </c>
      <c r="F17" s="1855" t="s">
        <v>8</v>
      </c>
      <c r="G17" s="1855" t="s">
        <v>8</v>
      </c>
      <c r="H17" s="1850" t="s">
        <v>8</v>
      </c>
      <c r="I17" s="1846" t="s">
        <v>8</v>
      </c>
      <c r="J17" s="1846" t="s">
        <v>8</v>
      </c>
    </row>
    <row r="18" spans="1:10">
      <c r="A18" s="1846" t="s">
        <v>8</v>
      </c>
      <c r="B18" s="1856">
        <v>1</v>
      </c>
      <c r="C18" s="1857" t="s">
        <v>221</v>
      </c>
      <c r="D18" s="1857" t="s">
        <v>1098</v>
      </c>
      <c r="E18" s="1858">
        <v>719.14</v>
      </c>
      <c r="F18" s="1857" t="s">
        <v>1099</v>
      </c>
      <c r="G18" s="1859">
        <v>13</v>
      </c>
      <c r="H18" s="1860" t="s">
        <v>41</v>
      </c>
      <c r="I18" s="1846" t="s">
        <v>8</v>
      </c>
      <c r="J18" s="1846" t="s">
        <v>8</v>
      </c>
    </row>
    <row r="19" spans="1:10">
      <c r="A19" s="1846" t="s">
        <v>8</v>
      </c>
      <c r="B19" s="1856" t="s">
        <v>8</v>
      </c>
      <c r="C19" s="1857" t="s">
        <v>8</v>
      </c>
      <c r="D19" s="1857" t="s">
        <v>8</v>
      </c>
      <c r="E19" s="1858" t="s">
        <v>8</v>
      </c>
      <c r="F19" s="1857" t="s">
        <v>8</v>
      </c>
      <c r="G19" s="1859" t="s">
        <v>8</v>
      </c>
      <c r="H19" s="1860" t="s">
        <v>8</v>
      </c>
      <c r="I19" s="1846" t="s">
        <v>8</v>
      </c>
      <c r="J19" s="1846" t="s">
        <v>8</v>
      </c>
    </row>
    <row r="20" spans="1:10" ht="15.75" thickBot="1">
      <c r="A20" s="1846" t="s">
        <v>8</v>
      </c>
      <c r="B20" s="1861" t="s">
        <v>8</v>
      </c>
      <c r="C20" s="1862" t="s">
        <v>8</v>
      </c>
      <c r="D20" s="1818" t="s">
        <v>51</v>
      </c>
      <c r="E20" s="1820">
        <f>SUM($E$18:$E$19)</f>
        <v>719.14</v>
      </c>
      <c r="F20" s="1862" t="s">
        <v>8</v>
      </c>
      <c r="G20" s="1863" t="s">
        <v>8</v>
      </c>
      <c r="H20" s="1854" t="s">
        <v>8</v>
      </c>
      <c r="I20" s="1846" t="s">
        <v>8</v>
      </c>
      <c r="J20" s="1846" t="s">
        <v>8</v>
      </c>
    </row>
    <row r="21" spans="1:10" ht="15.75" thickTop="1">
      <c r="A21" s="1846" t="s">
        <v>8</v>
      </c>
      <c r="B21" s="1864" t="s">
        <v>8</v>
      </c>
      <c r="C21" s="1846" t="s">
        <v>8</v>
      </c>
      <c r="D21" s="1846" t="s">
        <v>8</v>
      </c>
      <c r="E21" s="1865" t="s">
        <v>8</v>
      </c>
      <c r="F21" s="1846" t="s">
        <v>8</v>
      </c>
      <c r="G21" s="1866" t="s">
        <v>8</v>
      </c>
      <c r="H21" s="1846" t="s">
        <v>8</v>
      </c>
      <c r="I21" s="1846" t="s">
        <v>8</v>
      </c>
      <c r="J21" s="1846" t="s">
        <v>8</v>
      </c>
    </row>
    <row r="22" spans="1:10" ht="15.75" thickBot="1">
      <c r="A22" s="1846" t="s">
        <v>8</v>
      </c>
      <c r="B22" s="1864" t="s">
        <v>8</v>
      </c>
      <c r="C22" s="1846" t="s">
        <v>8</v>
      </c>
      <c r="D22" s="1846" t="s">
        <v>8</v>
      </c>
      <c r="E22" s="1865" t="s">
        <v>8</v>
      </c>
      <c r="F22" s="1846" t="s">
        <v>8</v>
      </c>
      <c r="G22" s="1866" t="s">
        <v>8</v>
      </c>
      <c r="H22" s="1846" t="s">
        <v>8</v>
      </c>
      <c r="I22" s="1846" t="s">
        <v>8</v>
      </c>
      <c r="J22" s="1846" t="s">
        <v>8</v>
      </c>
    </row>
    <row r="23" spans="1:10" ht="15.75" thickTop="1">
      <c r="A23" s="1846" t="s">
        <v>8</v>
      </c>
      <c r="B23" s="1867" t="s">
        <v>8</v>
      </c>
      <c r="C23" s="1855" t="s">
        <v>8</v>
      </c>
      <c r="D23" s="1817" t="s">
        <v>52</v>
      </c>
      <c r="E23" s="1868" t="s">
        <v>8</v>
      </c>
      <c r="F23" s="1855" t="s">
        <v>8</v>
      </c>
      <c r="G23" s="1869" t="s">
        <v>8</v>
      </c>
      <c r="H23" s="1850" t="s">
        <v>8</v>
      </c>
      <c r="I23" s="1846" t="s">
        <v>8</v>
      </c>
      <c r="J23" s="1846" t="s">
        <v>8</v>
      </c>
    </row>
    <row r="24" spans="1:10">
      <c r="A24" s="1846" t="s">
        <v>8</v>
      </c>
      <c r="B24" s="1856" t="s">
        <v>8</v>
      </c>
      <c r="C24" s="1857" t="s">
        <v>8</v>
      </c>
      <c r="D24" s="1857" t="s">
        <v>8</v>
      </c>
      <c r="E24" s="1858" t="s">
        <v>8</v>
      </c>
      <c r="F24" s="1857" t="s">
        <v>8</v>
      </c>
      <c r="G24" s="1859" t="s">
        <v>8</v>
      </c>
      <c r="H24" s="1860" t="s">
        <v>8</v>
      </c>
      <c r="I24" s="1846" t="s">
        <v>8</v>
      </c>
      <c r="J24" s="1846" t="s">
        <v>8</v>
      </c>
    </row>
    <row r="25" spans="1:10">
      <c r="A25" s="1846" t="s">
        <v>8</v>
      </c>
      <c r="B25" s="1856" t="s">
        <v>8</v>
      </c>
      <c r="C25" s="1857" t="s">
        <v>8</v>
      </c>
      <c r="D25" s="1857" t="s">
        <v>8</v>
      </c>
      <c r="E25" s="1858" t="s">
        <v>8</v>
      </c>
      <c r="F25" s="1857" t="s">
        <v>8</v>
      </c>
      <c r="G25" s="1859" t="s">
        <v>8</v>
      </c>
      <c r="H25" s="1860" t="s">
        <v>8</v>
      </c>
      <c r="I25" s="1846" t="s">
        <v>8</v>
      </c>
      <c r="J25" s="1846" t="s">
        <v>8</v>
      </c>
    </row>
    <row r="26" spans="1:10" ht="15.75" thickBot="1">
      <c r="A26" s="1846" t="s">
        <v>8</v>
      </c>
      <c r="B26" s="1861" t="s">
        <v>8</v>
      </c>
      <c r="C26" s="1862" t="s">
        <v>8</v>
      </c>
      <c r="D26" s="1818" t="s">
        <v>51</v>
      </c>
      <c r="E26" s="1820">
        <f>SUM($E$24:$E$25)</f>
        <v>0</v>
      </c>
      <c r="F26" s="1862" t="s">
        <v>8</v>
      </c>
      <c r="G26" s="1863" t="s">
        <v>8</v>
      </c>
      <c r="H26" s="1854" t="s">
        <v>8</v>
      </c>
      <c r="I26" s="1846" t="s">
        <v>8</v>
      </c>
      <c r="J26" s="1846" t="s">
        <v>8</v>
      </c>
    </row>
    <row r="27" spans="1:10" ht="15.75" thickTop="1">
      <c r="A27" s="1846" t="s">
        <v>8</v>
      </c>
      <c r="B27" s="1864" t="s">
        <v>8</v>
      </c>
      <c r="C27" s="1846" t="s">
        <v>8</v>
      </c>
      <c r="D27" s="1846" t="s">
        <v>8</v>
      </c>
      <c r="E27" s="1865" t="s">
        <v>8</v>
      </c>
      <c r="F27" s="1846" t="s">
        <v>8</v>
      </c>
      <c r="G27" s="1866" t="s">
        <v>8</v>
      </c>
      <c r="H27" s="1846" t="s">
        <v>8</v>
      </c>
      <c r="I27" s="1846" t="s">
        <v>8</v>
      </c>
      <c r="J27" s="1846" t="s">
        <v>8</v>
      </c>
    </row>
    <row r="28" spans="1:10" ht="15.75" thickBot="1">
      <c r="A28" s="1846" t="s">
        <v>8</v>
      </c>
      <c r="B28" s="1864" t="s">
        <v>8</v>
      </c>
      <c r="C28" s="1846" t="s">
        <v>8</v>
      </c>
      <c r="D28" s="1846" t="s">
        <v>8</v>
      </c>
      <c r="E28" s="1865" t="s">
        <v>8</v>
      </c>
      <c r="F28" s="1846" t="s">
        <v>8</v>
      </c>
      <c r="G28" s="1866" t="s">
        <v>8</v>
      </c>
      <c r="H28" s="1846" t="s">
        <v>8</v>
      </c>
      <c r="I28" s="1846" t="s">
        <v>8</v>
      </c>
      <c r="J28" s="1846" t="s">
        <v>8</v>
      </c>
    </row>
    <row r="29" spans="1:10" ht="15.75" thickTop="1">
      <c r="A29" s="1846" t="s">
        <v>8</v>
      </c>
      <c r="B29" s="1867" t="s">
        <v>8</v>
      </c>
      <c r="C29" s="1855" t="s">
        <v>8</v>
      </c>
      <c r="D29" s="1817" t="s">
        <v>85</v>
      </c>
      <c r="E29" s="1868" t="s">
        <v>8</v>
      </c>
      <c r="F29" s="1855" t="s">
        <v>8</v>
      </c>
      <c r="G29" s="1869" t="s">
        <v>8</v>
      </c>
      <c r="H29" s="1850" t="s">
        <v>8</v>
      </c>
      <c r="I29" s="1846" t="s">
        <v>8</v>
      </c>
      <c r="J29" s="1846" t="s">
        <v>8</v>
      </c>
    </row>
    <row r="30" spans="1:10">
      <c r="A30" s="1846" t="s">
        <v>8</v>
      </c>
      <c r="B30" s="1856" t="s">
        <v>8</v>
      </c>
      <c r="C30" s="1857" t="s">
        <v>8</v>
      </c>
      <c r="D30" s="1857" t="s">
        <v>8</v>
      </c>
      <c r="E30" s="1858" t="s">
        <v>8</v>
      </c>
      <c r="F30" s="1857" t="s">
        <v>8</v>
      </c>
      <c r="G30" s="1859" t="s">
        <v>8</v>
      </c>
      <c r="H30" s="1860" t="s">
        <v>8</v>
      </c>
      <c r="I30" s="1846" t="s">
        <v>8</v>
      </c>
      <c r="J30" s="1846" t="s">
        <v>8</v>
      </c>
    </row>
    <row r="31" spans="1:10">
      <c r="A31" s="1846" t="s">
        <v>8</v>
      </c>
      <c r="B31" s="1856" t="s">
        <v>8</v>
      </c>
      <c r="C31" s="1857" t="s">
        <v>8</v>
      </c>
      <c r="D31" s="1857" t="s">
        <v>8</v>
      </c>
      <c r="E31" s="1858" t="s">
        <v>8</v>
      </c>
      <c r="F31" s="1857" t="s">
        <v>8</v>
      </c>
      <c r="G31" s="1859" t="s">
        <v>8</v>
      </c>
      <c r="H31" s="1860" t="s">
        <v>8</v>
      </c>
      <c r="I31" s="1846" t="s">
        <v>8</v>
      </c>
      <c r="J31" s="1846" t="s">
        <v>8</v>
      </c>
    </row>
    <row r="32" spans="1:10" ht="15.75" thickBot="1">
      <c r="A32" s="1846" t="s">
        <v>8</v>
      </c>
      <c r="B32" s="1861" t="s">
        <v>8</v>
      </c>
      <c r="C32" s="1862" t="s">
        <v>8</v>
      </c>
      <c r="D32" s="1818" t="s">
        <v>51</v>
      </c>
      <c r="E32" s="1820">
        <f>SUM($E$30:$E$31)</f>
        <v>0</v>
      </c>
      <c r="F32" s="1862" t="s">
        <v>8</v>
      </c>
      <c r="G32" s="1863" t="s">
        <v>8</v>
      </c>
      <c r="H32" s="1854" t="s">
        <v>8</v>
      </c>
      <c r="I32" s="1846" t="s">
        <v>8</v>
      </c>
      <c r="J32" s="1846" t="s">
        <v>8</v>
      </c>
    </row>
    <row r="33" spans="1:10" ht="15.75" thickTop="1">
      <c r="A33" s="1846" t="s">
        <v>8</v>
      </c>
      <c r="B33" s="1864" t="s">
        <v>8</v>
      </c>
      <c r="C33" s="1846" t="s">
        <v>8</v>
      </c>
      <c r="D33" s="1846" t="s">
        <v>8</v>
      </c>
      <c r="E33" s="1865" t="s">
        <v>8</v>
      </c>
      <c r="F33" s="1846" t="s">
        <v>8</v>
      </c>
      <c r="G33" s="1866" t="s">
        <v>8</v>
      </c>
      <c r="H33" s="1846" t="s">
        <v>8</v>
      </c>
      <c r="I33" s="1846" t="s">
        <v>8</v>
      </c>
      <c r="J33" s="1846" t="s">
        <v>8</v>
      </c>
    </row>
    <row r="34" spans="1:10" ht="15.75" thickBot="1">
      <c r="A34" s="1846" t="s">
        <v>8</v>
      </c>
      <c r="B34" s="1864" t="s">
        <v>8</v>
      </c>
      <c r="C34" s="1846" t="s">
        <v>8</v>
      </c>
      <c r="D34" s="1846" t="s">
        <v>8</v>
      </c>
      <c r="E34" s="1865" t="s">
        <v>8</v>
      </c>
      <c r="F34" s="1846" t="s">
        <v>8</v>
      </c>
      <c r="G34" s="1866" t="s">
        <v>8</v>
      </c>
      <c r="H34" s="1846" t="s">
        <v>8</v>
      </c>
      <c r="I34" s="1846" t="s">
        <v>8</v>
      </c>
      <c r="J34" s="1846" t="s">
        <v>8</v>
      </c>
    </row>
    <row r="35" spans="1:10" ht="15.75" thickTop="1">
      <c r="A35" s="1846" t="s">
        <v>8</v>
      </c>
      <c r="B35" s="1867" t="s">
        <v>8</v>
      </c>
      <c r="C35" s="1855" t="s">
        <v>8</v>
      </c>
      <c r="D35" s="1817" t="s">
        <v>95</v>
      </c>
      <c r="E35" s="1868" t="s">
        <v>8</v>
      </c>
      <c r="F35" s="1855" t="s">
        <v>8</v>
      </c>
      <c r="G35" s="1869" t="s">
        <v>8</v>
      </c>
      <c r="H35" s="1850" t="s">
        <v>8</v>
      </c>
      <c r="I35" s="1846" t="s">
        <v>8</v>
      </c>
      <c r="J35" s="1846" t="s">
        <v>8</v>
      </c>
    </row>
    <row r="36" spans="1:10">
      <c r="A36" s="1846" t="s">
        <v>8</v>
      </c>
      <c r="B36" s="1856" t="s">
        <v>8</v>
      </c>
      <c r="C36" s="1857" t="s">
        <v>8</v>
      </c>
      <c r="D36" s="1857" t="s">
        <v>8</v>
      </c>
      <c r="E36" s="1858" t="s">
        <v>8</v>
      </c>
      <c r="F36" s="1857" t="s">
        <v>8</v>
      </c>
      <c r="G36" s="1859" t="s">
        <v>8</v>
      </c>
      <c r="H36" s="1860" t="s">
        <v>8</v>
      </c>
      <c r="I36" s="1846" t="s">
        <v>8</v>
      </c>
      <c r="J36" s="1846" t="s">
        <v>8</v>
      </c>
    </row>
    <row r="37" spans="1:10">
      <c r="A37" s="1846" t="s">
        <v>8</v>
      </c>
      <c r="B37" s="1856" t="s">
        <v>8</v>
      </c>
      <c r="C37" s="1857" t="s">
        <v>8</v>
      </c>
      <c r="D37" s="1857" t="s">
        <v>8</v>
      </c>
      <c r="E37" s="1858" t="s">
        <v>8</v>
      </c>
      <c r="F37" s="1857" t="s">
        <v>8</v>
      </c>
      <c r="G37" s="1859" t="s">
        <v>8</v>
      </c>
      <c r="H37" s="1860" t="s">
        <v>8</v>
      </c>
      <c r="I37" s="1846" t="s">
        <v>8</v>
      </c>
      <c r="J37" s="1846" t="s">
        <v>8</v>
      </c>
    </row>
    <row r="38" spans="1:10" ht="15.75" thickBot="1">
      <c r="A38" s="1846" t="s">
        <v>8</v>
      </c>
      <c r="B38" s="1861" t="s">
        <v>8</v>
      </c>
      <c r="C38" s="1862" t="s">
        <v>8</v>
      </c>
      <c r="D38" s="1818" t="s">
        <v>51</v>
      </c>
      <c r="E38" s="1820">
        <f>SUM($E$36:$E$37)</f>
        <v>0</v>
      </c>
      <c r="F38" s="1862" t="s">
        <v>8</v>
      </c>
      <c r="G38" s="1863" t="s">
        <v>8</v>
      </c>
      <c r="H38" s="1854" t="s">
        <v>8</v>
      </c>
      <c r="I38" s="1846" t="s">
        <v>8</v>
      </c>
      <c r="J38" s="1846" t="s">
        <v>8</v>
      </c>
    </row>
    <row r="39" spans="1:10" ht="16.5" thickTop="1" thickBot="1">
      <c r="A39" s="1846" t="s">
        <v>8</v>
      </c>
      <c r="B39" s="1864" t="s">
        <v>8</v>
      </c>
      <c r="C39" s="1846" t="s">
        <v>8</v>
      </c>
      <c r="D39" s="1846" t="s">
        <v>8</v>
      </c>
      <c r="E39" s="1865" t="s">
        <v>8</v>
      </c>
      <c r="F39" s="1846" t="s">
        <v>8</v>
      </c>
      <c r="G39" s="1866" t="s">
        <v>8</v>
      </c>
      <c r="H39" s="1846" t="s">
        <v>8</v>
      </c>
      <c r="I39" s="1846" t="s">
        <v>8</v>
      </c>
      <c r="J39" s="1846" t="s">
        <v>8</v>
      </c>
    </row>
    <row r="40" spans="1:10" ht="15.75" thickTop="1">
      <c r="A40" s="1846" t="s">
        <v>8</v>
      </c>
      <c r="B40" s="1870" t="s">
        <v>8</v>
      </c>
      <c r="C40" s="1849" t="s">
        <v>8</v>
      </c>
      <c r="D40" s="1849" t="s">
        <v>8</v>
      </c>
      <c r="E40" s="1871" t="s">
        <v>8</v>
      </c>
      <c r="F40" s="1849" t="s">
        <v>8</v>
      </c>
      <c r="G40" s="1872" t="s">
        <v>8</v>
      </c>
      <c r="H40" s="1850" t="s">
        <v>8</v>
      </c>
      <c r="I40" s="1846" t="s">
        <v>8</v>
      </c>
      <c r="J40" s="1846" t="s">
        <v>8</v>
      </c>
    </row>
    <row r="41" spans="1:10">
      <c r="A41" s="1846" t="s">
        <v>8</v>
      </c>
      <c r="B41" s="1873" t="s">
        <v>8</v>
      </c>
      <c r="C41" s="1957" t="s">
        <v>8</v>
      </c>
      <c r="D41" s="1959" t="s">
        <v>114</v>
      </c>
      <c r="E41" s="1958">
        <f>ABS(E13+$E$20-$E$38+$E$26-$E$32)</f>
        <v>104537.49</v>
      </c>
      <c r="F41" s="1957" t="s">
        <v>8</v>
      </c>
      <c r="G41" s="1961" t="s">
        <v>8</v>
      </c>
      <c r="H41" s="1860" t="s">
        <v>8</v>
      </c>
      <c r="I41" s="1846" t="s">
        <v>8</v>
      </c>
      <c r="J41" s="1846" t="s">
        <v>8</v>
      </c>
    </row>
    <row r="42" spans="1:10">
      <c r="A42" s="1846" t="s">
        <v>8</v>
      </c>
      <c r="B42" s="1873" t="s">
        <v>8</v>
      </c>
      <c r="C42" s="1957" t="s">
        <v>8</v>
      </c>
      <c r="D42" s="1959" t="s">
        <v>115</v>
      </c>
      <c r="E42" s="1958">
        <v>104537.49</v>
      </c>
      <c r="F42" s="1957" t="s">
        <v>8</v>
      </c>
      <c r="G42" s="1961" t="s">
        <v>8</v>
      </c>
      <c r="H42" s="1860" t="s">
        <v>8</v>
      </c>
      <c r="I42" s="1846" t="s">
        <v>116</v>
      </c>
      <c r="J42" s="1846" t="s">
        <v>8</v>
      </c>
    </row>
    <row r="43" spans="1:10" ht="15.75" thickBot="1">
      <c r="A43" s="1846" t="s">
        <v>8</v>
      </c>
      <c r="B43" s="1874" t="s">
        <v>8</v>
      </c>
      <c r="C43" s="1853" t="s">
        <v>8</v>
      </c>
      <c r="D43" s="1809" t="s">
        <v>117</v>
      </c>
      <c r="E43" s="1810">
        <f>$E$42-$E$41</f>
        <v>0</v>
      </c>
      <c r="F43" s="1853" t="s">
        <v>8</v>
      </c>
      <c r="G43" s="1875" t="s">
        <v>8</v>
      </c>
      <c r="H43" s="1854" t="s">
        <v>8</v>
      </c>
      <c r="I43" s="1846" t="s">
        <v>8</v>
      </c>
      <c r="J43" s="1846" t="s">
        <v>8</v>
      </c>
    </row>
    <row r="44" spans="1:10" ht="16.5" thickTop="1" thickBot="1">
      <c r="A44" s="1846" t="s">
        <v>8</v>
      </c>
      <c r="B44" s="1864" t="s">
        <v>8</v>
      </c>
      <c r="C44" s="1846" t="s">
        <v>8</v>
      </c>
      <c r="D44" s="1846" t="s">
        <v>8</v>
      </c>
      <c r="E44" s="1865" t="s">
        <v>8</v>
      </c>
      <c r="F44" s="1846" t="s">
        <v>8</v>
      </c>
      <c r="G44" s="1866" t="s">
        <v>8</v>
      </c>
      <c r="H44" s="1846" t="s">
        <v>8</v>
      </c>
      <c r="I44" s="1846" t="s">
        <v>8</v>
      </c>
      <c r="J44" s="1846" t="s">
        <v>8</v>
      </c>
    </row>
    <row r="45" spans="1:10" ht="15.75" thickTop="1">
      <c r="A45" s="1846" t="s">
        <v>8</v>
      </c>
      <c r="B45" s="1870" t="s">
        <v>8</v>
      </c>
      <c r="C45" s="1849" t="s">
        <v>8</v>
      </c>
      <c r="D45" s="1805" t="s">
        <v>118</v>
      </c>
      <c r="E45" s="1829" t="s">
        <v>1100</v>
      </c>
      <c r="F45" s="1805" t="s">
        <v>120</v>
      </c>
      <c r="G45" s="1872">
        <v>45981</v>
      </c>
      <c r="H45" s="1850" t="s">
        <v>8</v>
      </c>
      <c r="I45" s="1846" t="s">
        <v>8</v>
      </c>
      <c r="J45" s="1846" t="s">
        <v>8</v>
      </c>
    </row>
    <row r="46" spans="1:10">
      <c r="A46" s="1846" t="s">
        <v>8</v>
      </c>
      <c r="B46" s="1873" t="s">
        <v>8</v>
      </c>
      <c r="C46" s="1957" t="s">
        <v>8</v>
      </c>
      <c r="D46" s="1957" t="s">
        <v>8</v>
      </c>
      <c r="E46" s="1960" t="s">
        <v>8</v>
      </c>
      <c r="F46" s="1957" t="s">
        <v>8</v>
      </c>
      <c r="G46" s="1961" t="s">
        <v>8</v>
      </c>
      <c r="H46" s="1860" t="s">
        <v>8</v>
      </c>
      <c r="I46" s="1846" t="s">
        <v>8</v>
      </c>
      <c r="J46" s="1846" t="s">
        <v>8</v>
      </c>
    </row>
    <row r="47" spans="1:10">
      <c r="A47" s="1846" t="s">
        <v>8</v>
      </c>
      <c r="B47" s="1873" t="s">
        <v>8</v>
      </c>
      <c r="C47" s="1957" t="s">
        <v>8</v>
      </c>
      <c r="D47" s="1957" t="s">
        <v>8</v>
      </c>
      <c r="E47" s="1960" t="s">
        <v>8</v>
      </c>
      <c r="F47" s="1957" t="s">
        <v>8</v>
      </c>
      <c r="G47" s="1961" t="s">
        <v>8</v>
      </c>
      <c r="H47" s="1860" t="s">
        <v>8</v>
      </c>
      <c r="I47" s="1846" t="s">
        <v>8</v>
      </c>
      <c r="J47" s="1846" t="s">
        <v>8</v>
      </c>
    </row>
    <row r="48" spans="1:10">
      <c r="A48" s="1846" t="s">
        <v>8</v>
      </c>
      <c r="B48" s="1873" t="s">
        <v>8</v>
      </c>
      <c r="C48" s="1957" t="s">
        <v>8</v>
      </c>
      <c r="D48" s="1959" t="s">
        <v>121</v>
      </c>
      <c r="E48" s="1958" t="s">
        <v>8</v>
      </c>
      <c r="F48" s="1959" t="s">
        <v>120</v>
      </c>
      <c r="G48" s="1961" t="s">
        <v>8</v>
      </c>
      <c r="H48" s="1860" t="s">
        <v>8</v>
      </c>
      <c r="I48" s="1846" t="s">
        <v>8</v>
      </c>
      <c r="J48" s="1846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28.855468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12</v>
      </c>
      <c r="J1" s="36" t="s">
        <v>13</v>
      </c>
    </row>
    <row r="2" spans="1:10">
      <c r="A2" s="34" t="s">
        <v>8</v>
      </c>
      <c r="B2" s="34" t="s">
        <v>8</v>
      </c>
      <c r="C2" s="34" t="s">
        <v>8</v>
      </c>
      <c r="D2" s="34" t="s">
        <v>8</v>
      </c>
      <c r="E2" s="34" t="s">
        <v>8</v>
      </c>
      <c r="F2" s="34" t="s">
        <v>8</v>
      </c>
      <c r="G2" s="34" t="s">
        <v>8</v>
      </c>
      <c r="H2" s="34" t="s">
        <v>8</v>
      </c>
      <c r="I2" s="34" t="s">
        <v>8</v>
      </c>
      <c r="J2" s="34" t="s">
        <v>8</v>
      </c>
    </row>
    <row r="3" spans="1:10" ht="15.75" thickBot="1">
      <c r="A3" s="34" t="s">
        <v>8</v>
      </c>
      <c r="B3" s="34" t="s">
        <v>8</v>
      </c>
      <c r="C3" s="34" t="s">
        <v>8</v>
      </c>
      <c r="D3" s="34" t="s">
        <v>8</v>
      </c>
      <c r="E3" s="34" t="s">
        <v>8</v>
      </c>
      <c r="F3" s="34" t="s">
        <v>8</v>
      </c>
      <c r="G3" s="34" t="s">
        <v>8</v>
      </c>
      <c r="H3" s="34" t="s">
        <v>8</v>
      </c>
      <c r="I3" s="34" t="s">
        <v>8</v>
      </c>
      <c r="J3" s="34" t="s">
        <v>8</v>
      </c>
    </row>
    <row r="4" spans="1:10" ht="16.5" thickTop="1" thickBot="1">
      <c r="A4" s="34" t="s">
        <v>8</v>
      </c>
      <c r="B4" s="34" t="s">
        <v>14</v>
      </c>
      <c r="C4" s="34" t="s">
        <v>8</v>
      </c>
      <c r="D4" s="291" t="s">
        <v>15</v>
      </c>
      <c r="E4" s="34" t="s">
        <v>16</v>
      </c>
      <c r="F4" s="291" t="s">
        <v>150</v>
      </c>
      <c r="G4" s="34" t="s">
        <v>8</v>
      </c>
      <c r="H4" s="34" t="s">
        <v>8</v>
      </c>
      <c r="I4" s="34" t="s">
        <v>8</v>
      </c>
      <c r="J4" s="34" t="s">
        <v>8</v>
      </c>
    </row>
    <row r="5" spans="1:10" ht="16.5" thickTop="1" thickBot="1">
      <c r="A5" s="34" t="s">
        <v>8</v>
      </c>
      <c r="B5" s="34" t="s">
        <v>8</v>
      </c>
      <c r="C5" s="34" t="s">
        <v>8</v>
      </c>
      <c r="D5" s="34" t="s">
        <v>8</v>
      </c>
      <c r="E5" s="34" t="s">
        <v>8</v>
      </c>
      <c r="F5" s="34" t="s">
        <v>8</v>
      </c>
      <c r="G5" s="34" t="s">
        <v>8</v>
      </c>
      <c r="H5" s="34" t="s">
        <v>8</v>
      </c>
      <c r="I5" s="34" t="s">
        <v>8</v>
      </c>
      <c r="J5" s="34" t="s">
        <v>8</v>
      </c>
    </row>
    <row r="6" spans="1:10" ht="16.5" thickTop="1" thickBot="1">
      <c r="A6" s="34" t="s">
        <v>8</v>
      </c>
      <c r="B6" s="34" t="s">
        <v>18</v>
      </c>
      <c r="C6" s="34" t="s">
        <v>8</v>
      </c>
      <c r="D6" s="291" t="s">
        <v>19</v>
      </c>
      <c r="E6" s="34" t="s">
        <v>20</v>
      </c>
      <c r="F6" s="291" t="s">
        <v>151</v>
      </c>
      <c r="G6" s="34" t="s">
        <v>8</v>
      </c>
      <c r="H6" s="34" t="s">
        <v>8</v>
      </c>
      <c r="I6" s="34" t="s">
        <v>8</v>
      </c>
      <c r="J6" s="34" t="s">
        <v>8</v>
      </c>
    </row>
    <row r="7" spans="1:10" ht="16.5" thickTop="1" thickBot="1">
      <c r="A7" s="34" t="s">
        <v>8</v>
      </c>
      <c r="B7" s="34" t="s">
        <v>8</v>
      </c>
      <c r="C7" s="34" t="s">
        <v>8</v>
      </c>
      <c r="D7" s="34" t="s">
        <v>8</v>
      </c>
      <c r="E7" s="34" t="s">
        <v>8</v>
      </c>
      <c r="F7" s="34" t="s">
        <v>8</v>
      </c>
      <c r="G7" s="34" t="s">
        <v>8</v>
      </c>
      <c r="H7" s="34" t="s">
        <v>8</v>
      </c>
      <c r="I7" s="34" t="s">
        <v>8</v>
      </c>
      <c r="J7" s="34" t="s">
        <v>8</v>
      </c>
    </row>
    <row r="8" spans="1:10" ht="16.5" thickTop="1" thickBot="1">
      <c r="A8" s="34" t="s">
        <v>8</v>
      </c>
      <c r="B8" s="34" t="s">
        <v>22</v>
      </c>
      <c r="C8" s="34" t="s">
        <v>8</v>
      </c>
      <c r="D8" s="291" t="s">
        <v>11</v>
      </c>
      <c r="E8" s="34" t="s">
        <v>23</v>
      </c>
      <c r="F8" s="291" t="s">
        <v>152</v>
      </c>
      <c r="G8" s="34" t="s">
        <v>8</v>
      </c>
      <c r="H8" s="34" t="s">
        <v>8</v>
      </c>
      <c r="I8" s="34" t="s">
        <v>8</v>
      </c>
      <c r="J8" s="34" t="s">
        <v>8</v>
      </c>
    </row>
    <row r="9" spans="1:10" ht="16.5" thickTop="1" thickBot="1">
      <c r="A9" s="34" t="s">
        <v>8</v>
      </c>
      <c r="B9" s="34" t="s">
        <v>8</v>
      </c>
      <c r="C9" s="34" t="s">
        <v>8</v>
      </c>
      <c r="D9" s="34" t="s">
        <v>8</v>
      </c>
      <c r="E9" s="34" t="s">
        <v>8</v>
      </c>
      <c r="F9" s="34" t="s">
        <v>8</v>
      </c>
      <c r="G9" s="34" t="s">
        <v>8</v>
      </c>
      <c r="H9" s="34" t="s">
        <v>8</v>
      </c>
      <c r="I9" s="34" t="s">
        <v>8</v>
      </c>
      <c r="J9" s="34" t="s">
        <v>8</v>
      </c>
    </row>
    <row r="10" spans="1:10" ht="16.5" thickTop="1" thickBot="1">
      <c r="A10" s="34" t="s">
        <v>8</v>
      </c>
      <c r="B10" s="34" t="s">
        <v>25</v>
      </c>
      <c r="C10" s="34" t="s">
        <v>8</v>
      </c>
      <c r="D10" s="291" t="s">
        <v>26</v>
      </c>
      <c r="E10" s="34" t="s">
        <v>8</v>
      </c>
      <c r="F10" s="34" t="s">
        <v>8</v>
      </c>
      <c r="G10" s="34" t="s">
        <v>8</v>
      </c>
      <c r="H10" s="34" t="s">
        <v>8</v>
      </c>
      <c r="I10" s="34" t="s">
        <v>8</v>
      </c>
      <c r="J10" s="34" t="s">
        <v>8</v>
      </c>
    </row>
    <row r="11" spans="1:10" ht="16.5" thickTop="1" thickBot="1">
      <c r="A11" s="34" t="s">
        <v>8</v>
      </c>
      <c r="B11" s="34" t="s">
        <v>8</v>
      </c>
      <c r="C11" s="34" t="s">
        <v>8</v>
      </c>
      <c r="D11" s="34" t="s">
        <v>8</v>
      </c>
      <c r="E11" s="34" t="s">
        <v>8</v>
      </c>
      <c r="F11" s="34" t="s">
        <v>8</v>
      </c>
      <c r="G11" s="34" t="s">
        <v>8</v>
      </c>
      <c r="H11" s="34" t="s">
        <v>8</v>
      </c>
      <c r="I11" s="34" t="s">
        <v>8</v>
      </c>
      <c r="J11" s="34" t="s">
        <v>8</v>
      </c>
    </row>
    <row r="12" spans="1:10" ht="16.5" thickTop="1" thickBot="1">
      <c r="A12" s="34" t="s">
        <v>8</v>
      </c>
      <c r="B12" s="292" t="s">
        <v>8</v>
      </c>
      <c r="C12" s="293" t="s">
        <v>8</v>
      </c>
      <c r="D12" s="293" t="s">
        <v>8</v>
      </c>
      <c r="E12" s="293" t="s">
        <v>8</v>
      </c>
      <c r="F12" s="293" t="s">
        <v>8</v>
      </c>
      <c r="G12" s="293" t="s">
        <v>8</v>
      </c>
      <c r="H12" s="294" t="s">
        <v>8</v>
      </c>
      <c r="I12" s="34" t="s">
        <v>8</v>
      </c>
      <c r="J12" s="34" t="s">
        <v>8</v>
      </c>
    </row>
    <row r="13" spans="1:10" ht="16.5" thickTop="1" thickBot="1">
      <c r="A13" s="34" t="s">
        <v>8</v>
      </c>
      <c r="B13" s="295" t="s">
        <v>8</v>
      </c>
      <c r="C13" s="290" t="s">
        <v>27</v>
      </c>
      <c r="D13" s="296" t="s">
        <v>28</v>
      </c>
      <c r="E13" s="305">
        <v>7025754.8600000003</v>
      </c>
      <c r="F13" s="296" t="s">
        <v>8</v>
      </c>
      <c r="G13" s="296" t="s">
        <v>8</v>
      </c>
      <c r="H13" s="297" t="s">
        <v>8</v>
      </c>
      <c r="I13" s="34" t="s">
        <v>29</v>
      </c>
      <c r="J13" s="34" t="s">
        <v>8</v>
      </c>
    </row>
    <row r="14" spans="1:10" ht="16.5" thickTop="1" thickBot="1">
      <c r="A14" s="34" t="s">
        <v>8</v>
      </c>
      <c r="B14" s="34" t="s">
        <v>8</v>
      </c>
      <c r="C14" s="34" t="s">
        <v>8</v>
      </c>
      <c r="D14" s="34" t="s">
        <v>8</v>
      </c>
      <c r="E14" s="34" t="s">
        <v>8</v>
      </c>
      <c r="F14" s="34" t="s">
        <v>8</v>
      </c>
      <c r="G14" s="34" t="s">
        <v>8</v>
      </c>
      <c r="H14" s="34" t="s">
        <v>8</v>
      </c>
      <c r="I14" s="34" t="s">
        <v>8</v>
      </c>
      <c r="J14" s="34" t="s">
        <v>8</v>
      </c>
    </row>
    <row r="15" spans="1:10" ht="16.5" thickTop="1" thickBot="1">
      <c r="A15" s="34" t="s">
        <v>8</v>
      </c>
      <c r="B15" s="291" t="s">
        <v>30</v>
      </c>
      <c r="C15" s="290" t="s">
        <v>31</v>
      </c>
      <c r="D15" s="290" t="s">
        <v>32</v>
      </c>
      <c r="E15" s="290" t="s">
        <v>33</v>
      </c>
      <c r="F15" s="290" t="s">
        <v>34</v>
      </c>
      <c r="G15" s="290" t="s">
        <v>35</v>
      </c>
      <c r="H15" s="290" t="s">
        <v>36</v>
      </c>
      <c r="I15" s="34" t="s">
        <v>8</v>
      </c>
      <c r="J15" s="34" t="s">
        <v>8</v>
      </c>
    </row>
    <row r="16" spans="1:10" ht="16.5" thickTop="1" thickBot="1">
      <c r="A16" s="34" t="s">
        <v>8</v>
      </c>
      <c r="B16" s="34" t="s">
        <v>8</v>
      </c>
      <c r="C16" s="34" t="s">
        <v>8</v>
      </c>
      <c r="D16" s="34" t="s">
        <v>8</v>
      </c>
      <c r="E16" s="34" t="s">
        <v>8</v>
      </c>
      <c r="F16" s="34" t="s">
        <v>8</v>
      </c>
      <c r="G16" s="34" t="s">
        <v>8</v>
      </c>
      <c r="H16" s="34" t="s">
        <v>8</v>
      </c>
      <c r="I16" s="34" t="s">
        <v>8</v>
      </c>
      <c r="J16" s="34" t="s">
        <v>8</v>
      </c>
    </row>
    <row r="17" spans="1:10" ht="15.75" thickTop="1">
      <c r="A17" s="34" t="s">
        <v>8</v>
      </c>
      <c r="B17" s="307" t="s">
        <v>8</v>
      </c>
      <c r="C17" s="307" t="s">
        <v>8</v>
      </c>
      <c r="D17" s="312" t="s">
        <v>37</v>
      </c>
      <c r="E17" s="307" t="s">
        <v>8</v>
      </c>
      <c r="F17" s="307" t="s">
        <v>8</v>
      </c>
      <c r="G17" s="307" t="s">
        <v>8</v>
      </c>
      <c r="H17" s="294" t="s">
        <v>8</v>
      </c>
      <c r="I17" s="34" t="s">
        <v>8</v>
      </c>
      <c r="J17" s="34" t="s">
        <v>8</v>
      </c>
    </row>
    <row r="18" spans="1:10">
      <c r="A18" s="34" t="s">
        <v>8</v>
      </c>
      <c r="B18" s="308" t="s">
        <v>8</v>
      </c>
      <c r="C18" s="310" t="s">
        <v>8</v>
      </c>
      <c r="D18" s="310" t="s">
        <v>8</v>
      </c>
      <c r="E18" s="314" t="s">
        <v>8</v>
      </c>
      <c r="F18" s="310" t="s">
        <v>8</v>
      </c>
      <c r="G18" s="316" t="s">
        <v>8</v>
      </c>
      <c r="H18" s="302" t="s">
        <v>8</v>
      </c>
      <c r="I18" s="34" t="s">
        <v>8</v>
      </c>
      <c r="J18" s="34" t="s">
        <v>8</v>
      </c>
    </row>
    <row r="19" spans="1:10">
      <c r="A19" s="34" t="s">
        <v>8</v>
      </c>
      <c r="B19" s="308" t="s">
        <v>8</v>
      </c>
      <c r="C19" s="310" t="s">
        <v>8</v>
      </c>
      <c r="D19" s="310" t="s">
        <v>8</v>
      </c>
      <c r="E19" s="314" t="s">
        <v>8</v>
      </c>
      <c r="F19" s="310" t="s">
        <v>8</v>
      </c>
      <c r="G19" s="316" t="s">
        <v>8</v>
      </c>
      <c r="H19" s="302" t="s">
        <v>8</v>
      </c>
      <c r="I19" s="34" t="s">
        <v>8</v>
      </c>
      <c r="J19" s="34" t="s">
        <v>8</v>
      </c>
    </row>
    <row r="20" spans="1:10" ht="15.75" thickBot="1">
      <c r="A20" s="34" t="s">
        <v>8</v>
      </c>
      <c r="B20" s="309" t="s">
        <v>8</v>
      </c>
      <c r="C20" s="311" t="s">
        <v>8</v>
      </c>
      <c r="D20" s="313" t="s">
        <v>51</v>
      </c>
      <c r="E20" s="315">
        <f>SUM($E$18:$E$19)</f>
        <v>0</v>
      </c>
      <c r="F20" s="311" t="s">
        <v>8</v>
      </c>
      <c r="G20" s="317" t="s">
        <v>8</v>
      </c>
      <c r="H20" s="297" t="s">
        <v>8</v>
      </c>
      <c r="I20" s="34" t="s">
        <v>8</v>
      </c>
      <c r="J20" s="34" t="s">
        <v>8</v>
      </c>
    </row>
    <row r="21" spans="1:10" ht="15.75" thickTop="1">
      <c r="A21" s="34" t="s">
        <v>8</v>
      </c>
      <c r="B21" s="299" t="s">
        <v>8</v>
      </c>
      <c r="C21" s="34" t="s">
        <v>8</v>
      </c>
      <c r="D21" s="34" t="s">
        <v>8</v>
      </c>
      <c r="E21" s="35" t="s">
        <v>8</v>
      </c>
      <c r="F21" s="34" t="s">
        <v>8</v>
      </c>
      <c r="G21" s="298" t="s">
        <v>8</v>
      </c>
      <c r="H21" s="34" t="s">
        <v>8</v>
      </c>
      <c r="I21" s="34" t="s">
        <v>8</v>
      </c>
      <c r="J21" s="34" t="s">
        <v>8</v>
      </c>
    </row>
    <row r="22" spans="1:10" ht="15.75" thickBot="1">
      <c r="A22" s="34" t="s">
        <v>8</v>
      </c>
      <c r="B22" s="299" t="s">
        <v>8</v>
      </c>
      <c r="C22" s="34" t="s">
        <v>8</v>
      </c>
      <c r="D22" s="34" t="s">
        <v>8</v>
      </c>
      <c r="E22" s="35" t="s">
        <v>8</v>
      </c>
      <c r="F22" s="34" t="s">
        <v>8</v>
      </c>
      <c r="G22" s="298" t="s">
        <v>8</v>
      </c>
      <c r="H22" s="34" t="s">
        <v>8</v>
      </c>
      <c r="I22" s="34" t="s">
        <v>8</v>
      </c>
      <c r="J22" s="34" t="s">
        <v>8</v>
      </c>
    </row>
    <row r="23" spans="1:10" ht="15.75" thickTop="1">
      <c r="A23" s="34" t="s">
        <v>8</v>
      </c>
      <c r="B23" s="321" t="s">
        <v>8</v>
      </c>
      <c r="C23" s="307" t="s">
        <v>8</v>
      </c>
      <c r="D23" s="312" t="s">
        <v>52</v>
      </c>
      <c r="E23" s="322" t="s">
        <v>8</v>
      </c>
      <c r="F23" s="307" t="s">
        <v>8</v>
      </c>
      <c r="G23" s="323" t="s">
        <v>8</v>
      </c>
      <c r="H23" s="294" t="s">
        <v>8</v>
      </c>
      <c r="I23" s="34" t="s">
        <v>8</v>
      </c>
      <c r="J23" s="34" t="s">
        <v>8</v>
      </c>
    </row>
    <row r="24" spans="1:10">
      <c r="A24" s="34" t="s">
        <v>8</v>
      </c>
      <c r="B24" s="308" t="s">
        <v>8</v>
      </c>
      <c r="C24" s="310" t="s">
        <v>8</v>
      </c>
      <c r="D24" s="310" t="s">
        <v>8</v>
      </c>
      <c r="E24" s="314" t="s">
        <v>8</v>
      </c>
      <c r="F24" s="310" t="s">
        <v>8</v>
      </c>
      <c r="G24" s="316" t="s">
        <v>8</v>
      </c>
      <c r="H24" s="302" t="s">
        <v>8</v>
      </c>
      <c r="I24" s="34" t="s">
        <v>8</v>
      </c>
      <c r="J24" s="34" t="s">
        <v>8</v>
      </c>
    </row>
    <row r="25" spans="1:10">
      <c r="A25" s="34" t="s">
        <v>8</v>
      </c>
      <c r="B25" s="308" t="s">
        <v>8</v>
      </c>
      <c r="C25" s="310" t="s">
        <v>8</v>
      </c>
      <c r="D25" s="310" t="s">
        <v>8</v>
      </c>
      <c r="E25" s="314" t="s">
        <v>8</v>
      </c>
      <c r="F25" s="310" t="s">
        <v>8</v>
      </c>
      <c r="G25" s="316" t="s">
        <v>8</v>
      </c>
      <c r="H25" s="302" t="s">
        <v>8</v>
      </c>
      <c r="I25" s="34" t="s">
        <v>8</v>
      </c>
      <c r="J25" s="34" t="s">
        <v>8</v>
      </c>
    </row>
    <row r="26" spans="1:10" ht="15.75" thickBot="1">
      <c r="A26" s="34" t="s">
        <v>8</v>
      </c>
      <c r="B26" s="309" t="s">
        <v>8</v>
      </c>
      <c r="C26" s="311" t="s">
        <v>8</v>
      </c>
      <c r="D26" s="313" t="s">
        <v>51</v>
      </c>
      <c r="E26" s="315">
        <f>SUM($E$24:$E$25)</f>
        <v>0</v>
      </c>
      <c r="F26" s="311" t="s">
        <v>8</v>
      </c>
      <c r="G26" s="317" t="s">
        <v>8</v>
      </c>
      <c r="H26" s="297" t="s">
        <v>8</v>
      </c>
      <c r="I26" s="34" t="s">
        <v>8</v>
      </c>
      <c r="J26" s="34" t="s">
        <v>8</v>
      </c>
    </row>
    <row r="27" spans="1:10" ht="15.75" thickTop="1">
      <c r="A27" s="34" t="s">
        <v>8</v>
      </c>
      <c r="B27" s="299" t="s">
        <v>8</v>
      </c>
      <c r="C27" s="34" t="s">
        <v>8</v>
      </c>
      <c r="D27" s="34" t="s">
        <v>8</v>
      </c>
      <c r="E27" s="35" t="s">
        <v>8</v>
      </c>
      <c r="F27" s="34" t="s">
        <v>8</v>
      </c>
      <c r="G27" s="298" t="s">
        <v>8</v>
      </c>
      <c r="H27" s="34" t="s">
        <v>8</v>
      </c>
      <c r="I27" s="34" t="s">
        <v>8</v>
      </c>
      <c r="J27" s="34" t="s">
        <v>8</v>
      </c>
    </row>
    <row r="28" spans="1:10" ht="15.75" thickBot="1">
      <c r="A28" s="34" t="s">
        <v>8</v>
      </c>
      <c r="B28" s="299" t="s">
        <v>8</v>
      </c>
      <c r="C28" s="34" t="s">
        <v>8</v>
      </c>
      <c r="D28" s="34" t="s">
        <v>8</v>
      </c>
      <c r="E28" s="35" t="s">
        <v>8</v>
      </c>
      <c r="F28" s="34" t="s">
        <v>8</v>
      </c>
      <c r="G28" s="298" t="s">
        <v>8</v>
      </c>
      <c r="H28" s="34" t="s">
        <v>8</v>
      </c>
      <c r="I28" s="34" t="s">
        <v>8</v>
      </c>
      <c r="J28" s="34" t="s">
        <v>8</v>
      </c>
    </row>
    <row r="29" spans="1:10" ht="15.75" thickTop="1">
      <c r="A29" s="34" t="s">
        <v>8</v>
      </c>
      <c r="B29" s="321" t="s">
        <v>8</v>
      </c>
      <c r="C29" s="307" t="s">
        <v>8</v>
      </c>
      <c r="D29" s="312" t="s">
        <v>85</v>
      </c>
      <c r="E29" s="322" t="s">
        <v>8</v>
      </c>
      <c r="F29" s="307" t="s">
        <v>8</v>
      </c>
      <c r="G29" s="323" t="s">
        <v>8</v>
      </c>
      <c r="H29" s="294" t="s">
        <v>8</v>
      </c>
      <c r="I29" s="34" t="s">
        <v>8</v>
      </c>
      <c r="J29" s="34" t="s">
        <v>8</v>
      </c>
    </row>
    <row r="30" spans="1:10">
      <c r="A30" s="34" t="s">
        <v>8</v>
      </c>
      <c r="B30" s="308" t="s">
        <v>8</v>
      </c>
      <c r="C30" s="310" t="s">
        <v>8</v>
      </c>
      <c r="D30" s="310" t="s">
        <v>8</v>
      </c>
      <c r="E30" s="314" t="s">
        <v>8</v>
      </c>
      <c r="F30" s="310" t="s">
        <v>8</v>
      </c>
      <c r="G30" s="316" t="s">
        <v>8</v>
      </c>
      <c r="H30" s="302" t="s">
        <v>8</v>
      </c>
      <c r="I30" s="34" t="s">
        <v>8</v>
      </c>
      <c r="J30" s="34" t="s">
        <v>8</v>
      </c>
    </row>
    <row r="31" spans="1:10">
      <c r="A31" s="34" t="s">
        <v>8</v>
      </c>
      <c r="B31" s="308" t="s">
        <v>8</v>
      </c>
      <c r="C31" s="310" t="s">
        <v>8</v>
      </c>
      <c r="D31" s="310" t="s">
        <v>8</v>
      </c>
      <c r="E31" s="314" t="s">
        <v>8</v>
      </c>
      <c r="F31" s="310" t="s">
        <v>8</v>
      </c>
      <c r="G31" s="316" t="s">
        <v>8</v>
      </c>
      <c r="H31" s="302" t="s">
        <v>8</v>
      </c>
      <c r="I31" s="34" t="s">
        <v>8</v>
      </c>
      <c r="J31" s="34" t="s">
        <v>8</v>
      </c>
    </row>
    <row r="32" spans="1:10" ht="15.75" thickBot="1">
      <c r="A32" s="34" t="s">
        <v>8</v>
      </c>
      <c r="B32" s="309" t="s">
        <v>8</v>
      </c>
      <c r="C32" s="311" t="s">
        <v>8</v>
      </c>
      <c r="D32" s="313" t="s">
        <v>51</v>
      </c>
      <c r="E32" s="315">
        <f>SUM($E$30:$E$31)</f>
        <v>0</v>
      </c>
      <c r="F32" s="311" t="s">
        <v>8</v>
      </c>
      <c r="G32" s="317" t="s">
        <v>8</v>
      </c>
      <c r="H32" s="297" t="s">
        <v>8</v>
      </c>
      <c r="I32" s="34" t="s">
        <v>8</v>
      </c>
      <c r="J32" s="34" t="s">
        <v>8</v>
      </c>
    </row>
    <row r="33" spans="1:10" ht="15.75" thickTop="1">
      <c r="A33" s="34" t="s">
        <v>8</v>
      </c>
      <c r="B33" s="299" t="s">
        <v>8</v>
      </c>
      <c r="C33" s="34" t="s">
        <v>8</v>
      </c>
      <c r="D33" s="34" t="s">
        <v>8</v>
      </c>
      <c r="E33" s="35" t="s">
        <v>8</v>
      </c>
      <c r="F33" s="34" t="s">
        <v>8</v>
      </c>
      <c r="G33" s="298" t="s">
        <v>8</v>
      </c>
      <c r="H33" s="34" t="s">
        <v>8</v>
      </c>
      <c r="I33" s="34" t="s">
        <v>8</v>
      </c>
      <c r="J33" s="34" t="s">
        <v>8</v>
      </c>
    </row>
    <row r="34" spans="1:10" ht="15.75" thickBot="1">
      <c r="A34" s="34" t="s">
        <v>8</v>
      </c>
      <c r="B34" s="299" t="s">
        <v>8</v>
      </c>
      <c r="C34" s="34" t="s">
        <v>8</v>
      </c>
      <c r="D34" s="34" t="s">
        <v>8</v>
      </c>
      <c r="E34" s="35" t="s">
        <v>8</v>
      </c>
      <c r="F34" s="34" t="s">
        <v>8</v>
      </c>
      <c r="G34" s="298" t="s">
        <v>8</v>
      </c>
      <c r="H34" s="34" t="s">
        <v>8</v>
      </c>
      <c r="I34" s="34" t="s">
        <v>8</v>
      </c>
      <c r="J34" s="34" t="s">
        <v>8</v>
      </c>
    </row>
    <row r="35" spans="1:10" ht="15.75" thickTop="1">
      <c r="A35" s="34" t="s">
        <v>8</v>
      </c>
      <c r="B35" s="321" t="s">
        <v>8</v>
      </c>
      <c r="C35" s="307" t="s">
        <v>8</v>
      </c>
      <c r="D35" s="312" t="s">
        <v>95</v>
      </c>
      <c r="E35" s="322" t="s">
        <v>8</v>
      </c>
      <c r="F35" s="307" t="s">
        <v>8</v>
      </c>
      <c r="G35" s="323" t="s">
        <v>8</v>
      </c>
      <c r="H35" s="294" t="s">
        <v>8</v>
      </c>
      <c r="I35" s="34" t="s">
        <v>8</v>
      </c>
      <c r="J35" s="34" t="s">
        <v>8</v>
      </c>
    </row>
    <row r="36" spans="1:10">
      <c r="A36" s="34" t="s">
        <v>8</v>
      </c>
      <c r="B36" s="308" t="s">
        <v>8</v>
      </c>
      <c r="C36" s="310" t="s">
        <v>8</v>
      </c>
      <c r="D36" s="310" t="s">
        <v>8</v>
      </c>
      <c r="E36" s="314" t="s">
        <v>8</v>
      </c>
      <c r="F36" s="310" t="s">
        <v>8</v>
      </c>
      <c r="G36" s="316" t="s">
        <v>8</v>
      </c>
      <c r="H36" s="302" t="s">
        <v>8</v>
      </c>
      <c r="I36" s="34" t="s">
        <v>8</v>
      </c>
      <c r="J36" s="34" t="s">
        <v>8</v>
      </c>
    </row>
    <row r="37" spans="1:10">
      <c r="A37" s="34" t="s">
        <v>8</v>
      </c>
      <c r="B37" s="308" t="s">
        <v>8</v>
      </c>
      <c r="C37" s="310" t="s">
        <v>8</v>
      </c>
      <c r="D37" s="310" t="s">
        <v>8</v>
      </c>
      <c r="E37" s="314" t="s">
        <v>8</v>
      </c>
      <c r="F37" s="310" t="s">
        <v>8</v>
      </c>
      <c r="G37" s="316" t="s">
        <v>8</v>
      </c>
      <c r="H37" s="302" t="s">
        <v>8</v>
      </c>
      <c r="I37" s="34" t="s">
        <v>8</v>
      </c>
      <c r="J37" s="34" t="s">
        <v>8</v>
      </c>
    </row>
    <row r="38" spans="1:10" ht="15.75" thickBot="1">
      <c r="A38" s="34" t="s">
        <v>8</v>
      </c>
      <c r="B38" s="309" t="s">
        <v>8</v>
      </c>
      <c r="C38" s="311" t="s">
        <v>8</v>
      </c>
      <c r="D38" s="313" t="s">
        <v>51</v>
      </c>
      <c r="E38" s="315">
        <f>SUM($E$36:$E$37)</f>
        <v>0</v>
      </c>
      <c r="F38" s="311" t="s">
        <v>8</v>
      </c>
      <c r="G38" s="317" t="s">
        <v>8</v>
      </c>
      <c r="H38" s="297" t="s">
        <v>8</v>
      </c>
      <c r="I38" s="34" t="s">
        <v>8</v>
      </c>
      <c r="J38" s="34" t="s">
        <v>8</v>
      </c>
    </row>
    <row r="39" spans="1:10" ht="16.5" thickTop="1" thickBot="1">
      <c r="A39" s="34" t="s">
        <v>8</v>
      </c>
      <c r="B39" s="299" t="s">
        <v>8</v>
      </c>
      <c r="C39" s="34" t="s">
        <v>8</v>
      </c>
      <c r="D39" s="34" t="s">
        <v>8</v>
      </c>
      <c r="E39" s="35" t="s">
        <v>8</v>
      </c>
      <c r="F39" s="34" t="s">
        <v>8</v>
      </c>
      <c r="G39" s="298" t="s">
        <v>8</v>
      </c>
      <c r="H39" s="34" t="s">
        <v>8</v>
      </c>
      <c r="I39" s="34" t="s">
        <v>8</v>
      </c>
      <c r="J39" s="34" t="s">
        <v>8</v>
      </c>
    </row>
    <row r="40" spans="1:10" ht="15.75" thickTop="1">
      <c r="A40" s="34" t="s">
        <v>8</v>
      </c>
      <c r="B40" s="318" t="s">
        <v>8</v>
      </c>
      <c r="C40" s="293" t="s">
        <v>8</v>
      </c>
      <c r="D40" s="293" t="s">
        <v>8</v>
      </c>
      <c r="E40" s="319" t="s">
        <v>8</v>
      </c>
      <c r="F40" s="293" t="s">
        <v>8</v>
      </c>
      <c r="G40" s="320" t="s">
        <v>8</v>
      </c>
      <c r="H40" s="294" t="s">
        <v>8</v>
      </c>
      <c r="I40" s="34" t="s">
        <v>8</v>
      </c>
      <c r="J40" s="34" t="s">
        <v>8</v>
      </c>
    </row>
    <row r="41" spans="1:10">
      <c r="A41" s="34" t="s">
        <v>8</v>
      </c>
      <c r="B41" s="301" t="s">
        <v>8</v>
      </c>
      <c r="C41" s="1962" t="s">
        <v>8</v>
      </c>
      <c r="D41" s="1964" t="s">
        <v>114</v>
      </c>
      <c r="E41" s="1963">
        <f>ABS(E13+$E$20-$E$38+$E$26-$E$32)</f>
        <v>7025754.8600000003</v>
      </c>
      <c r="F41" s="1962" t="s">
        <v>8</v>
      </c>
      <c r="G41" s="1966" t="s">
        <v>8</v>
      </c>
      <c r="H41" s="302" t="s">
        <v>8</v>
      </c>
      <c r="I41" s="34" t="s">
        <v>8</v>
      </c>
      <c r="J41" s="34" t="s">
        <v>8</v>
      </c>
    </row>
    <row r="42" spans="1:10">
      <c r="A42" s="34" t="s">
        <v>8</v>
      </c>
      <c r="B42" s="301" t="s">
        <v>8</v>
      </c>
      <c r="C42" s="1962" t="s">
        <v>8</v>
      </c>
      <c r="D42" s="1964" t="s">
        <v>115</v>
      </c>
      <c r="E42" s="1963">
        <v>7025754.8600000003</v>
      </c>
      <c r="F42" s="1962" t="s">
        <v>8</v>
      </c>
      <c r="G42" s="1966" t="s">
        <v>8</v>
      </c>
      <c r="H42" s="302" t="s">
        <v>8</v>
      </c>
      <c r="I42" s="34" t="s">
        <v>116</v>
      </c>
      <c r="J42" s="34" t="s">
        <v>8</v>
      </c>
    </row>
    <row r="43" spans="1:10" ht="15.75" thickBot="1">
      <c r="A43" s="34" t="s">
        <v>8</v>
      </c>
      <c r="B43" s="303" t="s">
        <v>8</v>
      </c>
      <c r="C43" s="296" t="s">
        <v>8</v>
      </c>
      <c r="D43" s="304" t="s">
        <v>117</v>
      </c>
      <c r="E43" s="305">
        <f>$E$42-$E$41</f>
        <v>0</v>
      </c>
      <c r="F43" s="296" t="s">
        <v>8</v>
      </c>
      <c r="G43" s="306" t="s">
        <v>8</v>
      </c>
      <c r="H43" s="297" t="s">
        <v>8</v>
      </c>
      <c r="I43" s="34" t="s">
        <v>8</v>
      </c>
      <c r="J43" s="34" t="s">
        <v>8</v>
      </c>
    </row>
    <row r="44" spans="1:10" ht="16.5" thickTop="1" thickBot="1">
      <c r="A44" s="34" t="s">
        <v>8</v>
      </c>
      <c r="B44" s="299" t="s">
        <v>8</v>
      </c>
      <c r="C44" s="34" t="s">
        <v>8</v>
      </c>
      <c r="D44" s="34" t="s">
        <v>8</v>
      </c>
      <c r="E44" s="35" t="s">
        <v>8</v>
      </c>
      <c r="F44" s="34" t="s">
        <v>8</v>
      </c>
      <c r="G44" s="298" t="s">
        <v>8</v>
      </c>
      <c r="H44" s="34" t="s">
        <v>8</v>
      </c>
      <c r="I44" s="34" t="s">
        <v>8</v>
      </c>
      <c r="J44" s="34" t="s">
        <v>8</v>
      </c>
    </row>
    <row r="45" spans="1:10" ht="15.75" thickTop="1">
      <c r="A45" s="34" t="s">
        <v>8</v>
      </c>
      <c r="B45" s="318" t="s">
        <v>8</v>
      </c>
      <c r="C45" s="293" t="s">
        <v>8</v>
      </c>
      <c r="D45" s="300" t="s">
        <v>118</v>
      </c>
      <c r="E45" s="324" t="s">
        <v>119</v>
      </c>
      <c r="F45" s="300" t="s">
        <v>120</v>
      </c>
      <c r="G45" s="320">
        <v>45981</v>
      </c>
      <c r="H45" s="294" t="s">
        <v>8</v>
      </c>
      <c r="I45" s="34" t="s">
        <v>8</v>
      </c>
      <c r="J45" s="34" t="s">
        <v>8</v>
      </c>
    </row>
    <row r="46" spans="1:10">
      <c r="A46" s="34" t="s">
        <v>8</v>
      </c>
      <c r="B46" s="301" t="s">
        <v>8</v>
      </c>
      <c r="C46" s="1962" t="s">
        <v>8</v>
      </c>
      <c r="D46" s="1962" t="s">
        <v>8</v>
      </c>
      <c r="E46" s="1965" t="s">
        <v>8</v>
      </c>
      <c r="F46" s="1962" t="s">
        <v>8</v>
      </c>
      <c r="G46" s="1966" t="s">
        <v>8</v>
      </c>
      <c r="H46" s="302" t="s">
        <v>8</v>
      </c>
      <c r="I46" s="34" t="s">
        <v>8</v>
      </c>
      <c r="J46" s="34" t="s">
        <v>8</v>
      </c>
    </row>
    <row r="47" spans="1:10">
      <c r="A47" s="34" t="s">
        <v>8</v>
      </c>
      <c r="B47" s="301" t="s">
        <v>8</v>
      </c>
      <c r="C47" s="1962" t="s">
        <v>8</v>
      </c>
      <c r="D47" s="1962" t="s">
        <v>8</v>
      </c>
      <c r="E47" s="1965" t="s">
        <v>8</v>
      </c>
      <c r="F47" s="1962" t="s">
        <v>8</v>
      </c>
      <c r="G47" s="1966" t="s">
        <v>8</v>
      </c>
      <c r="H47" s="302" t="s">
        <v>8</v>
      </c>
      <c r="I47" s="34" t="s">
        <v>8</v>
      </c>
      <c r="J47" s="34" t="s">
        <v>8</v>
      </c>
    </row>
    <row r="48" spans="1:10">
      <c r="A48" s="34" t="s">
        <v>8</v>
      </c>
      <c r="B48" s="301" t="s">
        <v>8</v>
      </c>
      <c r="C48" s="1962" t="s">
        <v>8</v>
      </c>
      <c r="D48" s="1964" t="s">
        <v>121</v>
      </c>
      <c r="E48" s="1963" t="s">
        <v>8</v>
      </c>
      <c r="F48" s="1964" t="s">
        <v>120</v>
      </c>
      <c r="G48" s="1966" t="s">
        <v>8</v>
      </c>
      <c r="H48" s="302" t="s">
        <v>8</v>
      </c>
      <c r="I48" s="34" t="s">
        <v>8</v>
      </c>
      <c r="J48" s="34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28.855468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12</v>
      </c>
      <c r="J1" s="39" t="s">
        <v>13</v>
      </c>
    </row>
    <row r="2" spans="1:10">
      <c r="A2" s="37" t="s">
        <v>8</v>
      </c>
      <c r="B2" s="37" t="s">
        <v>8</v>
      </c>
      <c r="C2" s="37" t="s">
        <v>8</v>
      </c>
      <c r="D2" s="37" t="s">
        <v>8</v>
      </c>
      <c r="E2" s="37" t="s">
        <v>8</v>
      </c>
      <c r="F2" s="37" t="s">
        <v>8</v>
      </c>
      <c r="G2" s="37" t="s">
        <v>8</v>
      </c>
      <c r="H2" s="37" t="s">
        <v>8</v>
      </c>
      <c r="I2" s="37" t="s">
        <v>8</v>
      </c>
      <c r="J2" s="37" t="s">
        <v>8</v>
      </c>
    </row>
    <row r="3" spans="1:10" ht="15.75" thickBot="1">
      <c r="A3" s="37" t="s">
        <v>8</v>
      </c>
      <c r="B3" s="37" t="s">
        <v>8</v>
      </c>
      <c r="C3" s="37" t="s">
        <v>8</v>
      </c>
      <c r="D3" s="37" t="s">
        <v>8</v>
      </c>
      <c r="E3" s="37" t="s">
        <v>8</v>
      </c>
      <c r="F3" s="37" t="s">
        <v>8</v>
      </c>
      <c r="G3" s="37" t="s">
        <v>8</v>
      </c>
      <c r="H3" s="37" t="s">
        <v>8</v>
      </c>
      <c r="I3" s="37" t="s">
        <v>8</v>
      </c>
      <c r="J3" s="37" t="s">
        <v>8</v>
      </c>
    </row>
    <row r="4" spans="1:10" ht="16.5" thickTop="1" thickBot="1">
      <c r="A4" s="37" t="s">
        <v>8</v>
      </c>
      <c r="B4" s="37" t="s">
        <v>14</v>
      </c>
      <c r="C4" s="37" t="s">
        <v>8</v>
      </c>
      <c r="D4" s="326" t="s">
        <v>15</v>
      </c>
      <c r="E4" s="37" t="s">
        <v>16</v>
      </c>
      <c r="F4" s="326" t="s">
        <v>153</v>
      </c>
      <c r="G4" s="37" t="s">
        <v>8</v>
      </c>
      <c r="H4" s="37" t="s">
        <v>8</v>
      </c>
      <c r="I4" s="37" t="s">
        <v>8</v>
      </c>
      <c r="J4" s="37" t="s">
        <v>8</v>
      </c>
    </row>
    <row r="5" spans="1:10" ht="16.5" thickTop="1" thickBot="1">
      <c r="A5" s="37" t="s">
        <v>8</v>
      </c>
      <c r="B5" s="37" t="s">
        <v>8</v>
      </c>
      <c r="C5" s="37" t="s">
        <v>8</v>
      </c>
      <c r="D5" s="37" t="s">
        <v>8</v>
      </c>
      <c r="E5" s="37" t="s">
        <v>8</v>
      </c>
      <c r="F5" s="37" t="s">
        <v>8</v>
      </c>
      <c r="G5" s="37" t="s">
        <v>8</v>
      </c>
      <c r="H5" s="37" t="s">
        <v>8</v>
      </c>
      <c r="I5" s="37" t="s">
        <v>8</v>
      </c>
      <c r="J5" s="37" t="s">
        <v>8</v>
      </c>
    </row>
    <row r="6" spans="1:10" ht="16.5" thickTop="1" thickBot="1">
      <c r="A6" s="37" t="s">
        <v>8</v>
      </c>
      <c r="B6" s="37" t="s">
        <v>18</v>
      </c>
      <c r="C6" s="37" t="s">
        <v>8</v>
      </c>
      <c r="D6" s="326" t="s">
        <v>19</v>
      </c>
      <c r="E6" s="37" t="s">
        <v>20</v>
      </c>
      <c r="F6" s="326" t="s">
        <v>154</v>
      </c>
      <c r="G6" s="37" t="s">
        <v>8</v>
      </c>
      <c r="H6" s="37" t="s">
        <v>8</v>
      </c>
      <c r="I6" s="37" t="s">
        <v>8</v>
      </c>
      <c r="J6" s="37" t="s">
        <v>8</v>
      </c>
    </row>
    <row r="7" spans="1:10" ht="16.5" thickTop="1" thickBot="1">
      <c r="A7" s="37" t="s">
        <v>8</v>
      </c>
      <c r="B7" s="37" t="s">
        <v>8</v>
      </c>
      <c r="C7" s="37" t="s">
        <v>8</v>
      </c>
      <c r="D7" s="37" t="s">
        <v>8</v>
      </c>
      <c r="E7" s="37" t="s">
        <v>8</v>
      </c>
      <c r="F7" s="37" t="s">
        <v>8</v>
      </c>
      <c r="G7" s="37" t="s">
        <v>8</v>
      </c>
      <c r="H7" s="37" t="s">
        <v>8</v>
      </c>
      <c r="I7" s="37" t="s">
        <v>8</v>
      </c>
      <c r="J7" s="37" t="s">
        <v>8</v>
      </c>
    </row>
    <row r="8" spans="1:10" ht="16.5" thickTop="1" thickBot="1">
      <c r="A8" s="37" t="s">
        <v>8</v>
      </c>
      <c r="B8" s="37" t="s">
        <v>22</v>
      </c>
      <c r="C8" s="37" t="s">
        <v>8</v>
      </c>
      <c r="D8" s="326" t="s">
        <v>11</v>
      </c>
      <c r="E8" s="37" t="s">
        <v>23</v>
      </c>
      <c r="F8" s="326" t="s">
        <v>155</v>
      </c>
      <c r="G8" s="37" t="s">
        <v>8</v>
      </c>
      <c r="H8" s="37" t="s">
        <v>8</v>
      </c>
      <c r="I8" s="37" t="s">
        <v>8</v>
      </c>
      <c r="J8" s="37" t="s">
        <v>8</v>
      </c>
    </row>
    <row r="9" spans="1:10" ht="16.5" thickTop="1" thickBot="1">
      <c r="A9" s="37" t="s">
        <v>8</v>
      </c>
      <c r="B9" s="37" t="s">
        <v>8</v>
      </c>
      <c r="C9" s="37" t="s">
        <v>8</v>
      </c>
      <c r="D9" s="37" t="s">
        <v>8</v>
      </c>
      <c r="E9" s="37" t="s">
        <v>8</v>
      </c>
      <c r="F9" s="37" t="s">
        <v>8</v>
      </c>
      <c r="G9" s="37" t="s">
        <v>8</v>
      </c>
      <c r="H9" s="37" t="s">
        <v>8</v>
      </c>
      <c r="I9" s="37" t="s">
        <v>8</v>
      </c>
      <c r="J9" s="37" t="s">
        <v>8</v>
      </c>
    </row>
    <row r="10" spans="1:10" ht="16.5" thickTop="1" thickBot="1">
      <c r="A10" s="37" t="s">
        <v>8</v>
      </c>
      <c r="B10" s="37" t="s">
        <v>25</v>
      </c>
      <c r="C10" s="37" t="s">
        <v>8</v>
      </c>
      <c r="D10" s="326" t="s">
        <v>26</v>
      </c>
      <c r="E10" s="37" t="s">
        <v>8</v>
      </c>
      <c r="F10" s="37" t="s">
        <v>8</v>
      </c>
      <c r="G10" s="37" t="s">
        <v>8</v>
      </c>
      <c r="H10" s="37" t="s">
        <v>8</v>
      </c>
      <c r="I10" s="37" t="s">
        <v>8</v>
      </c>
      <c r="J10" s="37" t="s">
        <v>8</v>
      </c>
    </row>
    <row r="11" spans="1:10" ht="16.5" thickTop="1" thickBot="1">
      <c r="A11" s="37" t="s">
        <v>8</v>
      </c>
      <c r="B11" s="37" t="s">
        <v>8</v>
      </c>
      <c r="C11" s="37" t="s">
        <v>8</v>
      </c>
      <c r="D11" s="37" t="s">
        <v>8</v>
      </c>
      <c r="E11" s="37" t="s">
        <v>8</v>
      </c>
      <c r="F11" s="37" t="s">
        <v>8</v>
      </c>
      <c r="G11" s="37" t="s">
        <v>8</v>
      </c>
      <c r="H11" s="37" t="s">
        <v>8</v>
      </c>
      <c r="I11" s="37" t="s">
        <v>8</v>
      </c>
      <c r="J11" s="37" t="s">
        <v>8</v>
      </c>
    </row>
    <row r="12" spans="1:10" ht="16.5" thickTop="1" thickBot="1">
      <c r="A12" s="37" t="s">
        <v>8</v>
      </c>
      <c r="B12" s="327" t="s">
        <v>8</v>
      </c>
      <c r="C12" s="328" t="s">
        <v>8</v>
      </c>
      <c r="D12" s="328" t="s">
        <v>8</v>
      </c>
      <c r="E12" s="328" t="s">
        <v>8</v>
      </c>
      <c r="F12" s="328" t="s">
        <v>8</v>
      </c>
      <c r="G12" s="328" t="s">
        <v>8</v>
      </c>
      <c r="H12" s="329" t="s">
        <v>8</v>
      </c>
      <c r="I12" s="37" t="s">
        <v>8</v>
      </c>
      <c r="J12" s="37" t="s">
        <v>8</v>
      </c>
    </row>
    <row r="13" spans="1:10" ht="16.5" thickTop="1" thickBot="1">
      <c r="A13" s="37" t="s">
        <v>8</v>
      </c>
      <c r="B13" s="330" t="s">
        <v>8</v>
      </c>
      <c r="C13" s="325" t="s">
        <v>156</v>
      </c>
      <c r="D13" s="331" t="s">
        <v>28</v>
      </c>
      <c r="E13" s="340">
        <v>1103000</v>
      </c>
      <c r="F13" s="331" t="s">
        <v>8</v>
      </c>
      <c r="G13" s="331" t="s">
        <v>8</v>
      </c>
      <c r="H13" s="332" t="s">
        <v>8</v>
      </c>
      <c r="I13" s="37" t="s">
        <v>29</v>
      </c>
      <c r="J13" s="37" t="s">
        <v>8</v>
      </c>
    </row>
    <row r="14" spans="1:10" ht="16.5" thickTop="1" thickBot="1">
      <c r="A14" s="37" t="s">
        <v>8</v>
      </c>
      <c r="B14" s="37" t="s">
        <v>8</v>
      </c>
      <c r="C14" s="37" t="s">
        <v>8</v>
      </c>
      <c r="D14" s="37" t="s">
        <v>8</v>
      </c>
      <c r="E14" s="37" t="s">
        <v>8</v>
      </c>
      <c r="F14" s="37" t="s">
        <v>8</v>
      </c>
      <c r="G14" s="37" t="s">
        <v>8</v>
      </c>
      <c r="H14" s="37" t="s">
        <v>8</v>
      </c>
      <c r="I14" s="37" t="s">
        <v>8</v>
      </c>
      <c r="J14" s="37" t="s">
        <v>8</v>
      </c>
    </row>
    <row r="15" spans="1:10" ht="16.5" thickTop="1" thickBot="1">
      <c r="A15" s="37" t="s">
        <v>8</v>
      </c>
      <c r="B15" s="326" t="s">
        <v>30</v>
      </c>
      <c r="C15" s="325" t="s">
        <v>31</v>
      </c>
      <c r="D15" s="325" t="s">
        <v>32</v>
      </c>
      <c r="E15" s="325" t="s">
        <v>33</v>
      </c>
      <c r="F15" s="325" t="s">
        <v>34</v>
      </c>
      <c r="G15" s="325" t="s">
        <v>35</v>
      </c>
      <c r="H15" s="325" t="s">
        <v>36</v>
      </c>
      <c r="I15" s="37" t="s">
        <v>8</v>
      </c>
      <c r="J15" s="37" t="s">
        <v>8</v>
      </c>
    </row>
    <row r="16" spans="1:10" ht="16.5" thickTop="1" thickBot="1">
      <c r="A16" s="37" t="s">
        <v>8</v>
      </c>
      <c r="B16" s="37" t="s">
        <v>8</v>
      </c>
      <c r="C16" s="37" t="s">
        <v>8</v>
      </c>
      <c r="D16" s="37" t="s">
        <v>8</v>
      </c>
      <c r="E16" s="37" t="s">
        <v>8</v>
      </c>
      <c r="F16" s="37" t="s">
        <v>8</v>
      </c>
      <c r="G16" s="37" t="s">
        <v>8</v>
      </c>
      <c r="H16" s="37" t="s">
        <v>8</v>
      </c>
      <c r="I16" s="37" t="s">
        <v>8</v>
      </c>
      <c r="J16" s="37" t="s">
        <v>8</v>
      </c>
    </row>
    <row r="17" spans="1:10" ht="15.75" thickTop="1">
      <c r="A17" s="37" t="s">
        <v>8</v>
      </c>
      <c r="B17" s="342" t="s">
        <v>8</v>
      </c>
      <c r="C17" s="342" t="s">
        <v>8</v>
      </c>
      <c r="D17" s="347" t="s">
        <v>37</v>
      </c>
      <c r="E17" s="342" t="s">
        <v>8</v>
      </c>
      <c r="F17" s="342" t="s">
        <v>8</v>
      </c>
      <c r="G17" s="342" t="s">
        <v>8</v>
      </c>
      <c r="H17" s="329" t="s">
        <v>8</v>
      </c>
      <c r="I17" s="37" t="s">
        <v>8</v>
      </c>
      <c r="J17" s="37" t="s">
        <v>8</v>
      </c>
    </row>
    <row r="18" spans="1:10">
      <c r="A18" s="37" t="s">
        <v>8</v>
      </c>
      <c r="B18" s="343" t="s">
        <v>8</v>
      </c>
      <c r="C18" s="345" t="s">
        <v>8</v>
      </c>
      <c r="D18" s="345" t="s">
        <v>8</v>
      </c>
      <c r="E18" s="349" t="s">
        <v>8</v>
      </c>
      <c r="F18" s="345" t="s">
        <v>8</v>
      </c>
      <c r="G18" s="351" t="s">
        <v>8</v>
      </c>
      <c r="H18" s="337" t="s">
        <v>8</v>
      </c>
      <c r="I18" s="37" t="s">
        <v>8</v>
      </c>
      <c r="J18" s="37" t="s">
        <v>8</v>
      </c>
    </row>
    <row r="19" spans="1:10">
      <c r="A19" s="37" t="s">
        <v>8</v>
      </c>
      <c r="B19" s="343" t="s">
        <v>8</v>
      </c>
      <c r="C19" s="345" t="s">
        <v>8</v>
      </c>
      <c r="D19" s="345" t="s">
        <v>8</v>
      </c>
      <c r="E19" s="349" t="s">
        <v>8</v>
      </c>
      <c r="F19" s="345" t="s">
        <v>8</v>
      </c>
      <c r="G19" s="351" t="s">
        <v>8</v>
      </c>
      <c r="H19" s="337" t="s">
        <v>8</v>
      </c>
      <c r="I19" s="37" t="s">
        <v>8</v>
      </c>
      <c r="J19" s="37" t="s">
        <v>8</v>
      </c>
    </row>
    <row r="20" spans="1:10" ht="15.75" thickBot="1">
      <c r="A20" s="37" t="s">
        <v>8</v>
      </c>
      <c r="B20" s="344" t="s">
        <v>8</v>
      </c>
      <c r="C20" s="346" t="s">
        <v>8</v>
      </c>
      <c r="D20" s="348" t="s">
        <v>51</v>
      </c>
      <c r="E20" s="350">
        <f>SUM($E$18:$E$19)</f>
        <v>0</v>
      </c>
      <c r="F20" s="346" t="s">
        <v>8</v>
      </c>
      <c r="G20" s="352" t="s">
        <v>8</v>
      </c>
      <c r="H20" s="332" t="s">
        <v>8</v>
      </c>
      <c r="I20" s="37" t="s">
        <v>8</v>
      </c>
      <c r="J20" s="37" t="s">
        <v>8</v>
      </c>
    </row>
    <row r="21" spans="1:10" ht="15.75" thickTop="1">
      <c r="A21" s="37" t="s">
        <v>8</v>
      </c>
      <c r="B21" s="334" t="s">
        <v>8</v>
      </c>
      <c r="C21" s="37" t="s">
        <v>8</v>
      </c>
      <c r="D21" s="37" t="s">
        <v>8</v>
      </c>
      <c r="E21" s="38" t="s">
        <v>8</v>
      </c>
      <c r="F21" s="37" t="s">
        <v>8</v>
      </c>
      <c r="G21" s="333" t="s">
        <v>8</v>
      </c>
      <c r="H21" s="37" t="s">
        <v>8</v>
      </c>
      <c r="I21" s="37" t="s">
        <v>8</v>
      </c>
      <c r="J21" s="37" t="s">
        <v>8</v>
      </c>
    </row>
    <row r="22" spans="1:10" ht="15.75" thickBot="1">
      <c r="A22" s="37" t="s">
        <v>8</v>
      </c>
      <c r="B22" s="334" t="s">
        <v>8</v>
      </c>
      <c r="C22" s="37" t="s">
        <v>8</v>
      </c>
      <c r="D22" s="37" t="s">
        <v>8</v>
      </c>
      <c r="E22" s="38" t="s">
        <v>8</v>
      </c>
      <c r="F22" s="37" t="s">
        <v>8</v>
      </c>
      <c r="G22" s="333" t="s">
        <v>8</v>
      </c>
      <c r="H22" s="37" t="s">
        <v>8</v>
      </c>
      <c r="I22" s="37" t="s">
        <v>8</v>
      </c>
      <c r="J22" s="37" t="s">
        <v>8</v>
      </c>
    </row>
    <row r="23" spans="1:10" ht="15.75" thickTop="1">
      <c r="A23" s="37" t="s">
        <v>8</v>
      </c>
      <c r="B23" s="356" t="s">
        <v>8</v>
      </c>
      <c r="C23" s="342" t="s">
        <v>8</v>
      </c>
      <c r="D23" s="347" t="s">
        <v>52</v>
      </c>
      <c r="E23" s="357" t="s">
        <v>8</v>
      </c>
      <c r="F23" s="342" t="s">
        <v>8</v>
      </c>
      <c r="G23" s="358" t="s">
        <v>8</v>
      </c>
      <c r="H23" s="329" t="s">
        <v>8</v>
      </c>
      <c r="I23" s="37" t="s">
        <v>8</v>
      </c>
      <c r="J23" s="37" t="s">
        <v>8</v>
      </c>
    </row>
    <row r="24" spans="1:10">
      <c r="A24" s="37" t="s">
        <v>8</v>
      </c>
      <c r="B24" s="343" t="s">
        <v>8</v>
      </c>
      <c r="C24" s="345" t="s">
        <v>8</v>
      </c>
      <c r="D24" s="345" t="s">
        <v>8</v>
      </c>
      <c r="E24" s="349" t="s">
        <v>8</v>
      </c>
      <c r="F24" s="345" t="s">
        <v>8</v>
      </c>
      <c r="G24" s="351" t="s">
        <v>8</v>
      </c>
      <c r="H24" s="337" t="s">
        <v>8</v>
      </c>
      <c r="I24" s="37" t="s">
        <v>8</v>
      </c>
      <c r="J24" s="37" t="s">
        <v>8</v>
      </c>
    </row>
    <row r="25" spans="1:10">
      <c r="A25" s="37" t="s">
        <v>8</v>
      </c>
      <c r="B25" s="343" t="s">
        <v>8</v>
      </c>
      <c r="C25" s="345" t="s">
        <v>8</v>
      </c>
      <c r="D25" s="345" t="s">
        <v>8</v>
      </c>
      <c r="E25" s="349" t="s">
        <v>8</v>
      </c>
      <c r="F25" s="345" t="s">
        <v>8</v>
      </c>
      <c r="G25" s="351" t="s">
        <v>8</v>
      </c>
      <c r="H25" s="337" t="s">
        <v>8</v>
      </c>
      <c r="I25" s="37" t="s">
        <v>8</v>
      </c>
      <c r="J25" s="37" t="s">
        <v>8</v>
      </c>
    </row>
    <row r="26" spans="1:10" ht="15.75" thickBot="1">
      <c r="A26" s="37" t="s">
        <v>8</v>
      </c>
      <c r="B26" s="344" t="s">
        <v>8</v>
      </c>
      <c r="C26" s="346" t="s">
        <v>8</v>
      </c>
      <c r="D26" s="348" t="s">
        <v>51</v>
      </c>
      <c r="E26" s="350">
        <f>SUM($E$24:$E$25)</f>
        <v>0</v>
      </c>
      <c r="F26" s="346" t="s">
        <v>8</v>
      </c>
      <c r="G26" s="352" t="s">
        <v>8</v>
      </c>
      <c r="H26" s="332" t="s">
        <v>8</v>
      </c>
      <c r="I26" s="37" t="s">
        <v>8</v>
      </c>
      <c r="J26" s="37" t="s">
        <v>8</v>
      </c>
    </row>
    <row r="27" spans="1:10" ht="15.75" thickTop="1">
      <c r="A27" s="37" t="s">
        <v>8</v>
      </c>
      <c r="B27" s="334" t="s">
        <v>8</v>
      </c>
      <c r="C27" s="37" t="s">
        <v>8</v>
      </c>
      <c r="D27" s="37" t="s">
        <v>8</v>
      </c>
      <c r="E27" s="38" t="s">
        <v>8</v>
      </c>
      <c r="F27" s="37" t="s">
        <v>8</v>
      </c>
      <c r="G27" s="333" t="s">
        <v>8</v>
      </c>
      <c r="H27" s="37" t="s">
        <v>8</v>
      </c>
      <c r="I27" s="37" t="s">
        <v>8</v>
      </c>
      <c r="J27" s="37" t="s">
        <v>8</v>
      </c>
    </row>
    <row r="28" spans="1:10" ht="15.75" thickBot="1">
      <c r="A28" s="37" t="s">
        <v>8</v>
      </c>
      <c r="B28" s="334" t="s">
        <v>8</v>
      </c>
      <c r="C28" s="37" t="s">
        <v>8</v>
      </c>
      <c r="D28" s="37" t="s">
        <v>8</v>
      </c>
      <c r="E28" s="38" t="s">
        <v>8</v>
      </c>
      <c r="F28" s="37" t="s">
        <v>8</v>
      </c>
      <c r="G28" s="333" t="s">
        <v>8</v>
      </c>
      <c r="H28" s="37" t="s">
        <v>8</v>
      </c>
      <c r="I28" s="37" t="s">
        <v>8</v>
      </c>
      <c r="J28" s="37" t="s">
        <v>8</v>
      </c>
    </row>
    <row r="29" spans="1:10" ht="15.75" thickTop="1">
      <c r="A29" s="37" t="s">
        <v>8</v>
      </c>
      <c r="B29" s="356" t="s">
        <v>8</v>
      </c>
      <c r="C29" s="342" t="s">
        <v>8</v>
      </c>
      <c r="D29" s="347" t="s">
        <v>85</v>
      </c>
      <c r="E29" s="357" t="s">
        <v>8</v>
      </c>
      <c r="F29" s="342" t="s">
        <v>8</v>
      </c>
      <c r="G29" s="358" t="s">
        <v>8</v>
      </c>
      <c r="H29" s="329" t="s">
        <v>8</v>
      </c>
      <c r="I29" s="37" t="s">
        <v>8</v>
      </c>
      <c r="J29" s="37" t="s">
        <v>8</v>
      </c>
    </row>
    <row r="30" spans="1:10">
      <c r="A30" s="37" t="s">
        <v>8</v>
      </c>
      <c r="B30" s="343" t="s">
        <v>8</v>
      </c>
      <c r="C30" s="345" t="s">
        <v>8</v>
      </c>
      <c r="D30" s="345" t="s">
        <v>8</v>
      </c>
      <c r="E30" s="349" t="s">
        <v>8</v>
      </c>
      <c r="F30" s="345" t="s">
        <v>8</v>
      </c>
      <c r="G30" s="351" t="s">
        <v>8</v>
      </c>
      <c r="H30" s="337" t="s">
        <v>8</v>
      </c>
      <c r="I30" s="37" t="s">
        <v>8</v>
      </c>
      <c r="J30" s="37" t="s">
        <v>8</v>
      </c>
    </row>
    <row r="31" spans="1:10">
      <c r="A31" s="37" t="s">
        <v>8</v>
      </c>
      <c r="B31" s="343" t="s">
        <v>8</v>
      </c>
      <c r="C31" s="345" t="s">
        <v>8</v>
      </c>
      <c r="D31" s="345" t="s">
        <v>8</v>
      </c>
      <c r="E31" s="349" t="s">
        <v>8</v>
      </c>
      <c r="F31" s="345" t="s">
        <v>8</v>
      </c>
      <c r="G31" s="351" t="s">
        <v>8</v>
      </c>
      <c r="H31" s="337" t="s">
        <v>8</v>
      </c>
      <c r="I31" s="37" t="s">
        <v>8</v>
      </c>
      <c r="J31" s="37" t="s">
        <v>8</v>
      </c>
    </row>
    <row r="32" spans="1:10" ht="15.75" thickBot="1">
      <c r="A32" s="37" t="s">
        <v>8</v>
      </c>
      <c r="B32" s="344" t="s">
        <v>8</v>
      </c>
      <c r="C32" s="346" t="s">
        <v>8</v>
      </c>
      <c r="D32" s="348" t="s">
        <v>51</v>
      </c>
      <c r="E32" s="350">
        <f>SUM($E$30:$E$31)</f>
        <v>0</v>
      </c>
      <c r="F32" s="346" t="s">
        <v>8</v>
      </c>
      <c r="G32" s="352" t="s">
        <v>8</v>
      </c>
      <c r="H32" s="332" t="s">
        <v>8</v>
      </c>
      <c r="I32" s="37" t="s">
        <v>8</v>
      </c>
      <c r="J32" s="37" t="s">
        <v>8</v>
      </c>
    </row>
    <row r="33" spans="1:10" ht="15.75" thickTop="1">
      <c r="A33" s="37" t="s">
        <v>8</v>
      </c>
      <c r="B33" s="334" t="s">
        <v>8</v>
      </c>
      <c r="C33" s="37" t="s">
        <v>8</v>
      </c>
      <c r="D33" s="37" t="s">
        <v>8</v>
      </c>
      <c r="E33" s="38" t="s">
        <v>8</v>
      </c>
      <c r="F33" s="37" t="s">
        <v>8</v>
      </c>
      <c r="G33" s="333" t="s">
        <v>8</v>
      </c>
      <c r="H33" s="37" t="s">
        <v>8</v>
      </c>
      <c r="I33" s="37" t="s">
        <v>8</v>
      </c>
      <c r="J33" s="37" t="s">
        <v>8</v>
      </c>
    </row>
    <row r="34" spans="1:10" ht="15.75" thickBot="1">
      <c r="A34" s="37" t="s">
        <v>8</v>
      </c>
      <c r="B34" s="334" t="s">
        <v>8</v>
      </c>
      <c r="C34" s="37" t="s">
        <v>8</v>
      </c>
      <c r="D34" s="37" t="s">
        <v>8</v>
      </c>
      <c r="E34" s="38" t="s">
        <v>8</v>
      </c>
      <c r="F34" s="37" t="s">
        <v>8</v>
      </c>
      <c r="G34" s="333" t="s">
        <v>8</v>
      </c>
      <c r="H34" s="37" t="s">
        <v>8</v>
      </c>
      <c r="I34" s="37" t="s">
        <v>8</v>
      </c>
      <c r="J34" s="37" t="s">
        <v>8</v>
      </c>
    </row>
    <row r="35" spans="1:10" ht="15.75" thickTop="1">
      <c r="A35" s="37" t="s">
        <v>8</v>
      </c>
      <c r="B35" s="356" t="s">
        <v>8</v>
      </c>
      <c r="C35" s="342" t="s">
        <v>8</v>
      </c>
      <c r="D35" s="347" t="s">
        <v>95</v>
      </c>
      <c r="E35" s="357" t="s">
        <v>8</v>
      </c>
      <c r="F35" s="342" t="s">
        <v>8</v>
      </c>
      <c r="G35" s="358" t="s">
        <v>8</v>
      </c>
      <c r="H35" s="329" t="s">
        <v>8</v>
      </c>
      <c r="I35" s="37" t="s">
        <v>8</v>
      </c>
      <c r="J35" s="37" t="s">
        <v>8</v>
      </c>
    </row>
    <row r="36" spans="1:10">
      <c r="A36" s="37" t="s">
        <v>8</v>
      </c>
      <c r="B36" s="343" t="s">
        <v>8</v>
      </c>
      <c r="C36" s="345" t="s">
        <v>8</v>
      </c>
      <c r="D36" s="345" t="s">
        <v>8</v>
      </c>
      <c r="E36" s="349" t="s">
        <v>8</v>
      </c>
      <c r="F36" s="345" t="s">
        <v>8</v>
      </c>
      <c r="G36" s="351" t="s">
        <v>8</v>
      </c>
      <c r="H36" s="337" t="s">
        <v>8</v>
      </c>
      <c r="I36" s="37" t="s">
        <v>8</v>
      </c>
      <c r="J36" s="37" t="s">
        <v>8</v>
      </c>
    </row>
    <row r="37" spans="1:10">
      <c r="A37" s="37" t="s">
        <v>8</v>
      </c>
      <c r="B37" s="343" t="s">
        <v>8</v>
      </c>
      <c r="C37" s="345" t="s">
        <v>8</v>
      </c>
      <c r="D37" s="345" t="s">
        <v>8</v>
      </c>
      <c r="E37" s="349" t="s">
        <v>8</v>
      </c>
      <c r="F37" s="345" t="s">
        <v>8</v>
      </c>
      <c r="G37" s="351" t="s">
        <v>8</v>
      </c>
      <c r="H37" s="337" t="s">
        <v>8</v>
      </c>
      <c r="I37" s="37" t="s">
        <v>8</v>
      </c>
      <c r="J37" s="37" t="s">
        <v>8</v>
      </c>
    </row>
    <row r="38" spans="1:10" ht="15.75" thickBot="1">
      <c r="A38" s="37" t="s">
        <v>8</v>
      </c>
      <c r="B38" s="344" t="s">
        <v>8</v>
      </c>
      <c r="C38" s="346" t="s">
        <v>8</v>
      </c>
      <c r="D38" s="348" t="s">
        <v>51</v>
      </c>
      <c r="E38" s="350">
        <f>SUM($E$36:$E$37)</f>
        <v>0</v>
      </c>
      <c r="F38" s="346" t="s">
        <v>8</v>
      </c>
      <c r="G38" s="352" t="s">
        <v>8</v>
      </c>
      <c r="H38" s="332" t="s">
        <v>8</v>
      </c>
      <c r="I38" s="37" t="s">
        <v>8</v>
      </c>
      <c r="J38" s="37" t="s">
        <v>8</v>
      </c>
    </row>
    <row r="39" spans="1:10" ht="16.5" thickTop="1" thickBot="1">
      <c r="A39" s="37" t="s">
        <v>8</v>
      </c>
      <c r="B39" s="334" t="s">
        <v>8</v>
      </c>
      <c r="C39" s="37" t="s">
        <v>8</v>
      </c>
      <c r="D39" s="37" t="s">
        <v>8</v>
      </c>
      <c r="E39" s="38" t="s">
        <v>8</v>
      </c>
      <c r="F39" s="37" t="s">
        <v>8</v>
      </c>
      <c r="G39" s="333" t="s">
        <v>8</v>
      </c>
      <c r="H39" s="37" t="s">
        <v>8</v>
      </c>
      <c r="I39" s="37" t="s">
        <v>8</v>
      </c>
      <c r="J39" s="37" t="s">
        <v>8</v>
      </c>
    </row>
    <row r="40" spans="1:10" ht="15.75" thickTop="1">
      <c r="A40" s="37" t="s">
        <v>8</v>
      </c>
      <c r="B40" s="353" t="s">
        <v>8</v>
      </c>
      <c r="C40" s="328" t="s">
        <v>8</v>
      </c>
      <c r="D40" s="328" t="s">
        <v>8</v>
      </c>
      <c r="E40" s="354" t="s">
        <v>8</v>
      </c>
      <c r="F40" s="328" t="s">
        <v>8</v>
      </c>
      <c r="G40" s="355" t="s">
        <v>8</v>
      </c>
      <c r="H40" s="329" t="s">
        <v>8</v>
      </c>
      <c r="I40" s="37" t="s">
        <v>8</v>
      </c>
      <c r="J40" s="37" t="s">
        <v>8</v>
      </c>
    </row>
    <row r="41" spans="1:10">
      <c r="A41" s="37" t="s">
        <v>8</v>
      </c>
      <c r="B41" s="336" t="s">
        <v>8</v>
      </c>
      <c r="C41" s="1967" t="s">
        <v>8</v>
      </c>
      <c r="D41" s="1969" t="s">
        <v>114</v>
      </c>
      <c r="E41" s="1968">
        <f>ABS(E13+$E$20-$E$38+$E$26-$E$32)</f>
        <v>1103000</v>
      </c>
      <c r="F41" s="1967" t="s">
        <v>8</v>
      </c>
      <c r="G41" s="1971" t="s">
        <v>8</v>
      </c>
      <c r="H41" s="337" t="s">
        <v>8</v>
      </c>
      <c r="I41" s="37" t="s">
        <v>8</v>
      </c>
      <c r="J41" s="37" t="s">
        <v>8</v>
      </c>
    </row>
    <row r="42" spans="1:10">
      <c r="A42" s="37" t="s">
        <v>8</v>
      </c>
      <c r="B42" s="336" t="s">
        <v>8</v>
      </c>
      <c r="C42" s="1967" t="s">
        <v>8</v>
      </c>
      <c r="D42" s="1969" t="s">
        <v>115</v>
      </c>
      <c r="E42" s="1968">
        <v>1103000</v>
      </c>
      <c r="F42" s="1967" t="s">
        <v>8</v>
      </c>
      <c r="G42" s="1971" t="s">
        <v>8</v>
      </c>
      <c r="H42" s="337" t="s">
        <v>8</v>
      </c>
      <c r="I42" s="37" t="s">
        <v>116</v>
      </c>
      <c r="J42" s="37" t="s">
        <v>8</v>
      </c>
    </row>
    <row r="43" spans="1:10" ht="15.75" thickBot="1">
      <c r="A43" s="37" t="s">
        <v>8</v>
      </c>
      <c r="B43" s="338" t="s">
        <v>8</v>
      </c>
      <c r="C43" s="331" t="s">
        <v>8</v>
      </c>
      <c r="D43" s="339" t="s">
        <v>117</v>
      </c>
      <c r="E43" s="340">
        <f>$E$42-$E$41</f>
        <v>0</v>
      </c>
      <c r="F43" s="331" t="s">
        <v>8</v>
      </c>
      <c r="G43" s="341" t="s">
        <v>8</v>
      </c>
      <c r="H43" s="332" t="s">
        <v>8</v>
      </c>
      <c r="I43" s="37" t="s">
        <v>8</v>
      </c>
      <c r="J43" s="37" t="s">
        <v>8</v>
      </c>
    </row>
    <row r="44" spans="1:10" ht="16.5" thickTop="1" thickBot="1">
      <c r="A44" s="37" t="s">
        <v>8</v>
      </c>
      <c r="B44" s="334" t="s">
        <v>8</v>
      </c>
      <c r="C44" s="37" t="s">
        <v>8</v>
      </c>
      <c r="D44" s="37" t="s">
        <v>8</v>
      </c>
      <c r="E44" s="38" t="s">
        <v>8</v>
      </c>
      <c r="F44" s="37" t="s">
        <v>8</v>
      </c>
      <c r="G44" s="333" t="s">
        <v>8</v>
      </c>
      <c r="H44" s="37" t="s">
        <v>8</v>
      </c>
      <c r="I44" s="37" t="s">
        <v>8</v>
      </c>
      <c r="J44" s="37" t="s">
        <v>8</v>
      </c>
    </row>
    <row r="45" spans="1:10" ht="15.75" thickTop="1">
      <c r="A45" s="37" t="s">
        <v>8</v>
      </c>
      <c r="B45" s="353" t="s">
        <v>8</v>
      </c>
      <c r="C45" s="328" t="s">
        <v>8</v>
      </c>
      <c r="D45" s="335" t="s">
        <v>118</v>
      </c>
      <c r="E45" s="359" t="s">
        <v>119</v>
      </c>
      <c r="F45" s="335" t="s">
        <v>120</v>
      </c>
      <c r="G45" s="355">
        <v>45981</v>
      </c>
      <c r="H45" s="329" t="s">
        <v>8</v>
      </c>
      <c r="I45" s="37" t="s">
        <v>8</v>
      </c>
      <c r="J45" s="37" t="s">
        <v>8</v>
      </c>
    </row>
    <row r="46" spans="1:10">
      <c r="A46" s="37" t="s">
        <v>8</v>
      </c>
      <c r="B46" s="336" t="s">
        <v>8</v>
      </c>
      <c r="C46" s="1967" t="s">
        <v>8</v>
      </c>
      <c r="D46" s="1967" t="s">
        <v>8</v>
      </c>
      <c r="E46" s="1970" t="s">
        <v>8</v>
      </c>
      <c r="F46" s="1967" t="s">
        <v>8</v>
      </c>
      <c r="G46" s="1971" t="s">
        <v>8</v>
      </c>
      <c r="H46" s="337" t="s">
        <v>8</v>
      </c>
      <c r="I46" s="37" t="s">
        <v>8</v>
      </c>
      <c r="J46" s="37" t="s">
        <v>8</v>
      </c>
    </row>
    <row r="47" spans="1:10">
      <c r="A47" s="37" t="s">
        <v>8</v>
      </c>
      <c r="B47" s="336" t="s">
        <v>8</v>
      </c>
      <c r="C47" s="1967" t="s">
        <v>8</v>
      </c>
      <c r="D47" s="1967" t="s">
        <v>8</v>
      </c>
      <c r="E47" s="1970" t="s">
        <v>8</v>
      </c>
      <c r="F47" s="1967" t="s">
        <v>8</v>
      </c>
      <c r="G47" s="1971" t="s">
        <v>8</v>
      </c>
      <c r="H47" s="337" t="s">
        <v>8</v>
      </c>
      <c r="I47" s="37" t="s">
        <v>8</v>
      </c>
      <c r="J47" s="37" t="s">
        <v>8</v>
      </c>
    </row>
    <row r="48" spans="1:10">
      <c r="A48" s="37" t="s">
        <v>8</v>
      </c>
      <c r="B48" s="336" t="s">
        <v>8</v>
      </c>
      <c r="C48" s="1967" t="s">
        <v>8</v>
      </c>
      <c r="D48" s="1969" t="s">
        <v>121</v>
      </c>
      <c r="E48" s="1968" t="s">
        <v>8</v>
      </c>
      <c r="F48" s="1969" t="s">
        <v>120</v>
      </c>
      <c r="G48" s="1971" t="s">
        <v>8</v>
      </c>
      <c r="H48" s="337" t="s">
        <v>8</v>
      </c>
      <c r="I48" s="37" t="s">
        <v>8</v>
      </c>
      <c r="J48" s="37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28.71093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12</v>
      </c>
      <c r="J1" s="42" t="s">
        <v>13</v>
      </c>
    </row>
    <row r="2" spans="1:10">
      <c r="A2" s="40" t="s">
        <v>8</v>
      </c>
      <c r="B2" s="40" t="s">
        <v>8</v>
      </c>
      <c r="C2" s="40" t="s">
        <v>8</v>
      </c>
      <c r="D2" s="40" t="s">
        <v>8</v>
      </c>
      <c r="E2" s="40" t="s">
        <v>8</v>
      </c>
      <c r="F2" s="40" t="s">
        <v>8</v>
      </c>
      <c r="G2" s="40" t="s">
        <v>8</v>
      </c>
      <c r="H2" s="40" t="s">
        <v>8</v>
      </c>
      <c r="I2" s="40" t="s">
        <v>8</v>
      </c>
      <c r="J2" s="40" t="s">
        <v>8</v>
      </c>
    </row>
    <row r="3" spans="1:10" ht="15.75" thickBot="1">
      <c r="A3" s="40" t="s">
        <v>8</v>
      </c>
      <c r="B3" s="40" t="s">
        <v>8</v>
      </c>
      <c r="C3" s="40" t="s">
        <v>8</v>
      </c>
      <c r="D3" s="40" t="s">
        <v>8</v>
      </c>
      <c r="E3" s="40" t="s">
        <v>8</v>
      </c>
      <c r="F3" s="40" t="s">
        <v>8</v>
      </c>
      <c r="G3" s="40" t="s">
        <v>8</v>
      </c>
      <c r="H3" s="40" t="s">
        <v>8</v>
      </c>
      <c r="I3" s="40" t="s">
        <v>8</v>
      </c>
      <c r="J3" s="40" t="s">
        <v>8</v>
      </c>
    </row>
    <row r="4" spans="1:10" ht="16.5" thickTop="1" thickBot="1">
      <c r="A4" s="40" t="s">
        <v>8</v>
      </c>
      <c r="B4" s="40" t="s">
        <v>14</v>
      </c>
      <c r="C4" s="40" t="s">
        <v>8</v>
      </c>
      <c r="D4" s="361" t="s">
        <v>15</v>
      </c>
      <c r="E4" s="40" t="s">
        <v>16</v>
      </c>
      <c r="F4" s="361" t="s">
        <v>157</v>
      </c>
      <c r="G4" s="40" t="s">
        <v>8</v>
      </c>
      <c r="H4" s="40" t="s">
        <v>8</v>
      </c>
      <c r="I4" s="40" t="s">
        <v>8</v>
      </c>
      <c r="J4" s="40" t="s">
        <v>8</v>
      </c>
    </row>
    <row r="5" spans="1:10" ht="16.5" thickTop="1" thickBot="1">
      <c r="A5" s="40" t="s">
        <v>8</v>
      </c>
      <c r="B5" s="40" t="s">
        <v>8</v>
      </c>
      <c r="C5" s="40" t="s">
        <v>8</v>
      </c>
      <c r="D5" s="40" t="s">
        <v>8</v>
      </c>
      <c r="E5" s="40" t="s">
        <v>8</v>
      </c>
      <c r="F5" s="40" t="s">
        <v>8</v>
      </c>
      <c r="G5" s="40" t="s">
        <v>8</v>
      </c>
      <c r="H5" s="40" t="s">
        <v>8</v>
      </c>
      <c r="I5" s="40" t="s">
        <v>8</v>
      </c>
      <c r="J5" s="40" t="s">
        <v>8</v>
      </c>
    </row>
    <row r="6" spans="1:10" ht="16.5" thickTop="1" thickBot="1">
      <c r="A6" s="40" t="s">
        <v>8</v>
      </c>
      <c r="B6" s="40" t="s">
        <v>18</v>
      </c>
      <c r="C6" s="40" t="s">
        <v>8</v>
      </c>
      <c r="D6" s="361" t="s">
        <v>19</v>
      </c>
      <c r="E6" s="40" t="s">
        <v>20</v>
      </c>
      <c r="F6" s="361" t="s">
        <v>158</v>
      </c>
      <c r="G6" s="40" t="s">
        <v>8</v>
      </c>
      <c r="H6" s="40" t="s">
        <v>8</v>
      </c>
      <c r="I6" s="40" t="s">
        <v>8</v>
      </c>
      <c r="J6" s="40" t="s">
        <v>8</v>
      </c>
    </row>
    <row r="7" spans="1:10" ht="16.5" thickTop="1" thickBot="1">
      <c r="A7" s="40" t="s">
        <v>8</v>
      </c>
      <c r="B7" s="40" t="s">
        <v>8</v>
      </c>
      <c r="C7" s="40" t="s">
        <v>8</v>
      </c>
      <c r="D7" s="40" t="s">
        <v>8</v>
      </c>
      <c r="E7" s="40" t="s">
        <v>8</v>
      </c>
      <c r="F7" s="40" t="s">
        <v>8</v>
      </c>
      <c r="G7" s="40" t="s">
        <v>8</v>
      </c>
      <c r="H7" s="40" t="s">
        <v>8</v>
      </c>
      <c r="I7" s="40" t="s">
        <v>8</v>
      </c>
      <c r="J7" s="40" t="s">
        <v>8</v>
      </c>
    </row>
    <row r="8" spans="1:10" ht="16.5" thickTop="1" thickBot="1">
      <c r="A8" s="40" t="s">
        <v>8</v>
      </c>
      <c r="B8" s="40" t="s">
        <v>22</v>
      </c>
      <c r="C8" s="40" t="s">
        <v>8</v>
      </c>
      <c r="D8" s="361" t="s">
        <v>11</v>
      </c>
      <c r="E8" s="40" t="s">
        <v>23</v>
      </c>
      <c r="F8" s="361" t="s">
        <v>159</v>
      </c>
      <c r="G8" s="40" t="s">
        <v>8</v>
      </c>
      <c r="H8" s="40" t="s">
        <v>8</v>
      </c>
      <c r="I8" s="40" t="s">
        <v>8</v>
      </c>
      <c r="J8" s="40" t="s">
        <v>8</v>
      </c>
    </row>
    <row r="9" spans="1:10" ht="16.5" thickTop="1" thickBot="1">
      <c r="A9" s="40" t="s">
        <v>8</v>
      </c>
      <c r="B9" s="40" t="s">
        <v>8</v>
      </c>
      <c r="C9" s="40" t="s">
        <v>8</v>
      </c>
      <c r="D9" s="40" t="s">
        <v>8</v>
      </c>
      <c r="E9" s="40" t="s">
        <v>8</v>
      </c>
      <c r="F9" s="40" t="s">
        <v>8</v>
      </c>
      <c r="G9" s="40" t="s">
        <v>8</v>
      </c>
      <c r="H9" s="40" t="s">
        <v>8</v>
      </c>
      <c r="I9" s="40" t="s">
        <v>8</v>
      </c>
      <c r="J9" s="40" t="s">
        <v>8</v>
      </c>
    </row>
    <row r="10" spans="1:10" ht="16.5" thickTop="1" thickBot="1">
      <c r="A10" s="40" t="s">
        <v>8</v>
      </c>
      <c r="B10" s="40" t="s">
        <v>25</v>
      </c>
      <c r="C10" s="40" t="s">
        <v>8</v>
      </c>
      <c r="D10" s="361" t="s">
        <v>26</v>
      </c>
      <c r="E10" s="40" t="s">
        <v>8</v>
      </c>
      <c r="F10" s="40" t="s">
        <v>8</v>
      </c>
      <c r="G10" s="40" t="s">
        <v>8</v>
      </c>
      <c r="H10" s="40" t="s">
        <v>8</v>
      </c>
      <c r="I10" s="40" t="s">
        <v>8</v>
      </c>
      <c r="J10" s="40" t="s">
        <v>8</v>
      </c>
    </row>
    <row r="11" spans="1:10" ht="16.5" thickTop="1" thickBot="1">
      <c r="A11" s="40" t="s">
        <v>8</v>
      </c>
      <c r="B11" s="40" t="s">
        <v>8</v>
      </c>
      <c r="C11" s="40" t="s">
        <v>8</v>
      </c>
      <c r="D11" s="40" t="s">
        <v>8</v>
      </c>
      <c r="E11" s="40" t="s">
        <v>8</v>
      </c>
      <c r="F11" s="40" t="s">
        <v>8</v>
      </c>
      <c r="G11" s="40" t="s">
        <v>8</v>
      </c>
      <c r="H11" s="40" t="s">
        <v>8</v>
      </c>
      <c r="I11" s="40" t="s">
        <v>8</v>
      </c>
      <c r="J11" s="40" t="s">
        <v>8</v>
      </c>
    </row>
    <row r="12" spans="1:10" ht="16.5" thickTop="1" thickBot="1">
      <c r="A12" s="40" t="s">
        <v>8</v>
      </c>
      <c r="B12" s="362" t="s">
        <v>8</v>
      </c>
      <c r="C12" s="363" t="s">
        <v>8</v>
      </c>
      <c r="D12" s="363" t="s">
        <v>8</v>
      </c>
      <c r="E12" s="363" t="s">
        <v>8</v>
      </c>
      <c r="F12" s="363" t="s">
        <v>8</v>
      </c>
      <c r="G12" s="363" t="s">
        <v>8</v>
      </c>
      <c r="H12" s="364" t="s">
        <v>8</v>
      </c>
      <c r="I12" s="40" t="s">
        <v>8</v>
      </c>
      <c r="J12" s="40" t="s">
        <v>8</v>
      </c>
    </row>
    <row r="13" spans="1:10" ht="16.5" thickTop="1" thickBot="1">
      <c r="A13" s="40" t="s">
        <v>8</v>
      </c>
      <c r="B13" s="365" t="s">
        <v>8</v>
      </c>
      <c r="C13" s="360" t="s">
        <v>156</v>
      </c>
      <c r="D13" s="366" t="s">
        <v>28</v>
      </c>
      <c r="E13" s="375">
        <v>260500</v>
      </c>
      <c r="F13" s="366" t="s">
        <v>8</v>
      </c>
      <c r="G13" s="366" t="s">
        <v>8</v>
      </c>
      <c r="H13" s="367" t="s">
        <v>8</v>
      </c>
      <c r="I13" s="40" t="s">
        <v>29</v>
      </c>
      <c r="J13" s="40" t="s">
        <v>8</v>
      </c>
    </row>
    <row r="14" spans="1:10" ht="16.5" thickTop="1" thickBot="1">
      <c r="A14" s="40" t="s">
        <v>8</v>
      </c>
      <c r="B14" s="40" t="s">
        <v>8</v>
      </c>
      <c r="C14" s="40" t="s">
        <v>8</v>
      </c>
      <c r="D14" s="40" t="s">
        <v>8</v>
      </c>
      <c r="E14" s="40" t="s">
        <v>8</v>
      </c>
      <c r="F14" s="40" t="s">
        <v>8</v>
      </c>
      <c r="G14" s="40" t="s">
        <v>8</v>
      </c>
      <c r="H14" s="40" t="s">
        <v>8</v>
      </c>
      <c r="I14" s="40" t="s">
        <v>8</v>
      </c>
      <c r="J14" s="40" t="s">
        <v>8</v>
      </c>
    </row>
    <row r="15" spans="1:10" ht="16.5" thickTop="1" thickBot="1">
      <c r="A15" s="40" t="s">
        <v>8</v>
      </c>
      <c r="B15" s="361" t="s">
        <v>30</v>
      </c>
      <c r="C15" s="360" t="s">
        <v>31</v>
      </c>
      <c r="D15" s="360" t="s">
        <v>32</v>
      </c>
      <c r="E15" s="360" t="s">
        <v>33</v>
      </c>
      <c r="F15" s="360" t="s">
        <v>34</v>
      </c>
      <c r="G15" s="360" t="s">
        <v>35</v>
      </c>
      <c r="H15" s="360" t="s">
        <v>36</v>
      </c>
      <c r="I15" s="40" t="s">
        <v>8</v>
      </c>
      <c r="J15" s="40" t="s">
        <v>8</v>
      </c>
    </row>
    <row r="16" spans="1:10" ht="16.5" thickTop="1" thickBot="1">
      <c r="A16" s="40" t="s">
        <v>8</v>
      </c>
      <c r="B16" s="40" t="s">
        <v>8</v>
      </c>
      <c r="C16" s="40" t="s">
        <v>8</v>
      </c>
      <c r="D16" s="40" t="s">
        <v>8</v>
      </c>
      <c r="E16" s="40" t="s">
        <v>8</v>
      </c>
      <c r="F16" s="40" t="s">
        <v>8</v>
      </c>
      <c r="G16" s="40" t="s">
        <v>8</v>
      </c>
      <c r="H16" s="40" t="s">
        <v>8</v>
      </c>
      <c r="I16" s="40" t="s">
        <v>8</v>
      </c>
      <c r="J16" s="40" t="s">
        <v>8</v>
      </c>
    </row>
    <row r="17" spans="1:10" ht="15.75" thickTop="1">
      <c r="A17" s="40" t="s">
        <v>8</v>
      </c>
      <c r="B17" s="377" t="s">
        <v>8</v>
      </c>
      <c r="C17" s="377" t="s">
        <v>8</v>
      </c>
      <c r="D17" s="382" t="s">
        <v>37</v>
      </c>
      <c r="E17" s="377" t="s">
        <v>8</v>
      </c>
      <c r="F17" s="377" t="s">
        <v>8</v>
      </c>
      <c r="G17" s="377" t="s">
        <v>8</v>
      </c>
      <c r="H17" s="364" t="s">
        <v>8</v>
      </c>
      <c r="I17" s="40" t="s">
        <v>8</v>
      </c>
      <c r="J17" s="40" t="s">
        <v>8</v>
      </c>
    </row>
    <row r="18" spans="1:10">
      <c r="A18" s="40" t="s">
        <v>8</v>
      </c>
      <c r="B18" s="378" t="s">
        <v>8</v>
      </c>
      <c r="C18" s="380" t="s">
        <v>8</v>
      </c>
      <c r="D18" s="380" t="s">
        <v>8</v>
      </c>
      <c r="E18" s="384" t="s">
        <v>8</v>
      </c>
      <c r="F18" s="380" t="s">
        <v>8</v>
      </c>
      <c r="G18" s="386" t="s">
        <v>8</v>
      </c>
      <c r="H18" s="372" t="s">
        <v>8</v>
      </c>
      <c r="I18" s="40" t="s">
        <v>8</v>
      </c>
      <c r="J18" s="40" t="s">
        <v>8</v>
      </c>
    </row>
    <row r="19" spans="1:10">
      <c r="A19" s="40" t="s">
        <v>8</v>
      </c>
      <c r="B19" s="378" t="s">
        <v>8</v>
      </c>
      <c r="C19" s="380" t="s">
        <v>8</v>
      </c>
      <c r="D19" s="380" t="s">
        <v>8</v>
      </c>
      <c r="E19" s="384" t="s">
        <v>8</v>
      </c>
      <c r="F19" s="380" t="s">
        <v>8</v>
      </c>
      <c r="G19" s="386" t="s">
        <v>8</v>
      </c>
      <c r="H19" s="372" t="s">
        <v>8</v>
      </c>
      <c r="I19" s="40" t="s">
        <v>8</v>
      </c>
      <c r="J19" s="40" t="s">
        <v>8</v>
      </c>
    </row>
    <row r="20" spans="1:10" ht="15.75" thickBot="1">
      <c r="A20" s="40" t="s">
        <v>8</v>
      </c>
      <c r="B20" s="379" t="s">
        <v>8</v>
      </c>
      <c r="C20" s="381" t="s">
        <v>8</v>
      </c>
      <c r="D20" s="383" t="s">
        <v>51</v>
      </c>
      <c r="E20" s="385">
        <f>SUM($E$18:$E$19)</f>
        <v>0</v>
      </c>
      <c r="F20" s="381" t="s">
        <v>8</v>
      </c>
      <c r="G20" s="387" t="s">
        <v>8</v>
      </c>
      <c r="H20" s="367" t="s">
        <v>8</v>
      </c>
      <c r="I20" s="40" t="s">
        <v>8</v>
      </c>
      <c r="J20" s="40" t="s">
        <v>8</v>
      </c>
    </row>
    <row r="21" spans="1:10" ht="15.75" thickTop="1">
      <c r="A21" s="40" t="s">
        <v>8</v>
      </c>
      <c r="B21" s="369" t="s">
        <v>8</v>
      </c>
      <c r="C21" s="40" t="s">
        <v>8</v>
      </c>
      <c r="D21" s="40" t="s">
        <v>8</v>
      </c>
      <c r="E21" s="41" t="s">
        <v>8</v>
      </c>
      <c r="F21" s="40" t="s">
        <v>8</v>
      </c>
      <c r="G21" s="368" t="s">
        <v>8</v>
      </c>
      <c r="H21" s="40" t="s">
        <v>8</v>
      </c>
      <c r="I21" s="40" t="s">
        <v>8</v>
      </c>
      <c r="J21" s="40" t="s">
        <v>8</v>
      </c>
    </row>
    <row r="22" spans="1:10" ht="15.75" thickBot="1">
      <c r="A22" s="40" t="s">
        <v>8</v>
      </c>
      <c r="B22" s="369" t="s">
        <v>8</v>
      </c>
      <c r="C22" s="40" t="s">
        <v>8</v>
      </c>
      <c r="D22" s="40" t="s">
        <v>8</v>
      </c>
      <c r="E22" s="41" t="s">
        <v>8</v>
      </c>
      <c r="F22" s="40" t="s">
        <v>8</v>
      </c>
      <c r="G22" s="368" t="s">
        <v>8</v>
      </c>
      <c r="H22" s="40" t="s">
        <v>8</v>
      </c>
      <c r="I22" s="40" t="s">
        <v>8</v>
      </c>
      <c r="J22" s="40" t="s">
        <v>8</v>
      </c>
    </row>
    <row r="23" spans="1:10" ht="15.75" thickTop="1">
      <c r="A23" s="40" t="s">
        <v>8</v>
      </c>
      <c r="B23" s="391" t="s">
        <v>8</v>
      </c>
      <c r="C23" s="377" t="s">
        <v>8</v>
      </c>
      <c r="D23" s="382" t="s">
        <v>52</v>
      </c>
      <c r="E23" s="392" t="s">
        <v>8</v>
      </c>
      <c r="F23" s="377" t="s">
        <v>8</v>
      </c>
      <c r="G23" s="393" t="s">
        <v>8</v>
      </c>
      <c r="H23" s="364" t="s">
        <v>8</v>
      </c>
      <c r="I23" s="40" t="s">
        <v>8</v>
      </c>
      <c r="J23" s="40" t="s">
        <v>8</v>
      </c>
    </row>
    <row r="24" spans="1:10">
      <c r="A24" s="40" t="s">
        <v>8</v>
      </c>
      <c r="B24" s="378" t="s">
        <v>8</v>
      </c>
      <c r="C24" s="380" t="s">
        <v>8</v>
      </c>
      <c r="D24" s="380" t="s">
        <v>8</v>
      </c>
      <c r="E24" s="384" t="s">
        <v>8</v>
      </c>
      <c r="F24" s="380" t="s">
        <v>8</v>
      </c>
      <c r="G24" s="386" t="s">
        <v>8</v>
      </c>
      <c r="H24" s="372" t="s">
        <v>8</v>
      </c>
      <c r="I24" s="40" t="s">
        <v>8</v>
      </c>
      <c r="J24" s="40" t="s">
        <v>8</v>
      </c>
    </row>
    <row r="25" spans="1:10">
      <c r="A25" s="40" t="s">
        <v>8</v>
      </c>
      <c r="B25" s="378" t="s">
        <v>8</v>
      </c>
      <c r="C25" s="380" t="s">
        <v>8</v>
      </c>
      <c r="D25" s="380" t="s">
        <v>8</v>
      </c>
      <c r="E25" s="384" t="s">
        <v>8</v>
      </c>
      <c r="F25" s="380" t="s">
        <v>8</v>
      </c>
      <c r="G25" s="386" t="s">
        <v>8</v>
      </c>
      <c r="H25" s="372" t="s">
        <v>8</v>
      </c>
      <c r="I25" s="40" t="s">
        <v>8</v>
      </c>
      <c r="J25" s="40" t="s">
        <v>8</v>
      </c>
    </row>
    <row r="26" spans="1:10" ht="15.75" thickBot="1">
      <c r="A26" s="40" t="s">
        <v>8</v>
      </c>
      <c r="B26" s="379" t="s">
        <v>8</v>
      </c>
      <c r="C26" s="381" t="s">
        <v>8</v>
      </c>
      <c r="D26" s="383" t="s">
        <v>51</v>
      </c>
      <c r="E26" s="385">
        <f>SUM($E$24:$E$25)</f>
        <v>0</v>
      </c>
      <c r="F26" s="381" t="s">
        <v>8</v>
      </c>
      <c r="G26" s="387" t="s">
        <v>8</v>
      </c>
      <c r="H26" s="367" t="s">
        <v>8</v>
      </c>
      <c r="I26" s="40" t="s">
        <v>8</v>
      </c>
      <c r="J26" s="40" t="s">
        <v>8</v>
      </c>
    </row>
    <row r="27" spans="1:10" ht="15.75" thickTop="1">
      <c r="A27" s="40" t="s">
        <v>8</v>
      </c>
      <c r="B27" s="369" t="s">
        <v>8</v>
      </c>
      <c r="C27" s="40" t="s">
        <v>8</v>
      </c>
      <c r="D27" s="40" t="s">
        <v>8</v>
      </c>
      <c r="E27" s="41" t="s">
        <v>8</v>
      </c>
      <c r="F27" s="40" t="s">
        <v>8</v>
      </c>
      <c r="G27" s="368" t="s">
        <v>8</v>
      </c>
      <c r="H27" s="40" t="s">
        <v>8</v>
      </c>
      <c r="I27" s="40" t="s">
        <v>8</v>
      </c>
      <c r="J27" s="40" t="s">
        <v>8</v>
      </c>
    </row>
    <row r="28" spans="1:10" ht="15.75" thickBot="1">
      <c r="A28" s="40" t="s">
        <v>8</v>
      </c>
      <c r="B28" s="369" t="s">
        <v>8</v>
      </c>
      <c r="C28" s="40" t="s">
        <v>8</v>
      </c>
      <c r="D28" s="40" t="s">
        <v>8</v>
      </c>
      <c r="E28" s="41" t="s">
        <v>8</v>
      </c>
      <c r="F28" s="40" t="s">
        <v>8</v>
      </c>
      <c r="G28" s="368" t="s">
        <v>8</v>
      </c>
      <c r="H28" s="40" t="s">
        <v>8</v>
      </c>
      <c r="I28" s="40" t="s">
        <v>8</v>
      </c>
      <c r="J28" s="40" t="s">
        <v>8</v>
      </c>
    </row>
    <row r="29" spans="1:10" ht="15.75" thickTop="1">
      <c r="A29" s="40" t="s">
        <v>8</v>
      </c>
      <c r="B29" s="391" t="s">
        <v>8</v>
      </c>
      <c r="C29" s="377" t="s">
        <v>8</v>
      </c>
      <c r="D29" s="382" t="s">
        <v>85</v>
      </c>
      <c r="E29" s="392" t="s">
        <v>8</v>
      </c>
      <c r="F29" s="377" t="s">
        <v>8</v>
      </c>
      <c r="G29" s="393" t="s">
        <v>8</v>
      </c>
      <c r="H29" s="364" t="s">
        <v>8</v>
      </c>
      <c r="I29" s="40" t="s">
        <v>8</v>
      </c>
      <c r="J29" s="40" t="s">
        <v>8</v>
      </c>
    </row>
    <row r="30" spans="1:10">
      <c r="A30" s="40" t="s">
        <v>8</v>
      </c>
      <c r="B30" s="378" t="s">
        <v>8</v>
      </c>
      <c r="C30" s="380" t="s">
        <v>8</v>
      </c>
      <c r="D30" s="380" t="s">
        <v>8</v>
      </c>
      <c r="E30" s="384" t="s">
        <v>8</v>
      </c>
      <c r="F30" s="380" t="s">
        <v>8</v>
      </c>
      <c r="G30" s="386" t="s">
        <v>8</v>
      </c>
      <c r="H30" s="372" t="s">
        <v>8</v>
      </c>
      <c r="I30" s="40" t="s">
        <v>8</v>
      </c>
      <c r="J30" s="40" t="s">
        <v>8</v>
      </c>
    </row>
    <row r="31" spans="1:10">
      <c r="A31" s="40" t="s">
        <v>8</v>
      </c>
      <c r="B31" s="378" t="s">
        <v>8</v>
      </c>
      <c r="C31" s="380" t="s">
        <v>8</v>
      </c>
      <c r="D31" s="380" t="s">
        <v>8</v>
      </c>
      <c r="E31" s="384" t="s">
        <v>8</v>
      </c>
      <c r="F31" s="380" t="s">
        <v>8</v>
      </c>
      <c r="G31" s="386" t="s">
        <v>8</v>
      </c>
      <c r="H31" s="372" t="s">
        <v>8</v>
      </c>
      <c r="I31" s="40" t="s">
        <v>8</v>
      </c>
      <c r="J31" s="40" t="s">
        <v>8</v>
      </c>
    </row>
    <row r="32" spans="1:10" ht="15.75" thickBot="1">
      <c r="A32" s="40" t="s">
        <v>8</v>
      </c>
      <c r="B32" s="379" t="s">
        <v>8</v>
      </c>
      <c r="C32" s="381" t="s">
        <v>8</v>
      </c>
      <c r="D32" s="383" t="s">
        <v>51</v>
      </c>
      <c r="E32" s="385">
        <f>SUM($E$30:$E$31)</f>
        <v>0</v>
      </c>
      <c r="F32" s="381" t="s">
        <v>8</v>
      </c>
      <c r="G32" s="387" t="s">
        <v>8</v>
      </c>
      <c r="H32" s="367" t="s">
        <v>8</v>
      </c>
      <c r="I32" s="40" t="s">
        <v>8</v>
      </c>
      <c r="J32" s="40" t="s">
        <v>8</v>
      </c>
    </row>
    <row r="33" spans="1:10" ht="15.75" thickTop="1">
      <c r="A33" s="40" t="s">
        <v>8</v>
      </c>
      <c r="B33" s="369" t="s">
        <v>8</v>
      </c>
      <c r="C33" s="40" t="s">
        <v>8</v>
      </c>
      <c r="D33" s="40" t="s">
        <v>8</v>
      </c>
      <c r="E33" s="41" t="s">
        <v>8</v>
      </c>
      <c r="F33" s="40" t="s">
        <v>8</v>
      </c>
      <c r="G33" s="368" t="s">
        <v>8</v>
      </c>
      <c r="H33" s="40" t="s">
        <v>8</v>
      </c>
      <c r="I33" s="40" t="s">
        <v>8</v>
      </c>
      <c r="J33" s="40" t="s">
        <v>8</v>
      </c>
    </row>
    <row r="34" spans="1:10" ht="15.75" thickBot="1">
      <c r="A34" s="40" t="s">
        <v>8</v>
      </c>
      <c r="B34" s="369" t="s">
        <v>8</v>
      </c>
      <c r="C34" s="40" t="s">
        <v>8</v>
      </c>
      <c r="D34" s="40" t="s">
        <v>8</v>
      </c>
      <c r="E34" s="41" t="s">
        <v>8</v>
      </c>
      <c r="F34" s="40" t="s">
        <v>8</v>
      </c>
      <c r="G34" s="368" t="s">
        <v>8</v>
      </c>
      <c r="H34" s="40" t="s">
        <v>8</v>
      </c>
      <c r="I34" s="40" t="s">
        <v>8</v>
      </c>
      <c r="J34" s="40" t="s">
        <v>8</v>
      </c>
    </row>
    <row r="35" spans="1:10" ht="15.75" thickTop="1">
      <c r="A35" s="40" t="s">
        <v>8</v>
      </c>
      <c r="B35" s="391" t="s">
        <v>8</v>
      </c>
      <c r="C35" s="377" t="s">
        <v>8</v>
      </c>
      <c r="D35" s="382" t="s">
        <v>95</v>
      </c>
      <c r="E35" s="392" t="s">
        <v>8</v>
      </c>
      <c r="F35" s="377" t="s">
        <v>8</v>
      </c>
      <c r="G35" s="393" t="s">
        <v>8</v>
      </c>
      <c r="H35" s="364" t="s">
        <v>8</v>
      </c>
      <c r="I35" s="40" t="s">
        <v>8</v>
      </c>
      <c r="J35" s="40" t="s">
        <v>8</v>
      </c>
    </row>
    <row r="36" spans="1:10">
      <c r="A36" s="40" t="s">
        <v>8</v>
      </c>
      <c r="B36" s="378" t="s">
        <v>8</v>
      </c>
      <c r="C36" s="380" t="s">
        <v>8</v>
      </c>
      <c r="D36" s="380" t="s">
        <v>8</v>
      </c>
      <c r="E36" s="384" t="s">
        <v>8</v>
      </c>
      <c r="F36" s="380" t="s">
        <v>8</v>
      </c>
      <c r="G36" s="386" t="s">
        <v>8</v>
      </c>
      <c r="H36" s="372" t="s">
        <v>8</v>
      </c>
      <c r="I36" s="40" t="s">
        <v>8</v>
      </c>
      <c r="J36" s="40" t="s">
        <v>8</v>
      </c>
    </row>
    <row r="37" spans="1:10">
      <c r="A37" s="40" t="s">
        <v>8</v>
      </c>
      <c r="B37" s="378" t="s">
        <v>8</v>
      </c>
      <c r="C37" s="380" t="s">
        <v>8</v>
      </c>
      <c r="D37" s="380" t="s">
        <v>8</v>
      </c>
      <c r="E37" s="384" t="s">
        <v>8</v>
      </c>
      <c r="F37" s="380" t="s">
        <v>8</v>
      </c>
      <c r="G37" s="386" t="s">
        <v>8</v>
      </c>
      <c r="H37" s="372" t="s">
        <v>8</v>
      </c>
      <c r="I37" s="40" t="s">
        <v>8</v>
      </c>
      <c r="J37" s="40" t="s">
        <v>8</v>
      </c>
    </row>
    <row r="38" spans="1:10" ht="15.75" thickBot="1">
      <c r="A38" s="40" t="s">
        <v>8</v>
      </c>
      <c r="B38" s="379" t="s">
        <v>8</v>
      </c>
      <c r="C38" s="381" t="s">
        <v>8</v>
      </c>
      <c r="D38" s="383" t="s">
        <v>51</v>
      </c>
      <c r="E38" s="385">
        <f>SUM($E$36:$E$37)</f>
        <v>0</v>
      </c>
      <c r="F38" s="381" t="s">
        <v>8</v>
      </c>
      <c r="G38" s="387" t="s">
        <v>8</v>
      </c>
      <c r="H38" s="367" t="s">
        <v>8</v>
      </c>
      <c r="I38" s="40" t="s">
        <v>8</v>
      </c>
      <c r="J38" s="40" t="s">
        <v>8</v>
      </c>
    </row>
    <row r="39" spans="1:10" ht="16.5" thickTop="1" thickBot="1">
      <c r="A39" s="40" t="s">
        <v>8</v>
      </c>
      <c r="B39" s="369" t="s">
        <v>8</v>
      </c>
      <c r="C39" s="40" t="s">
        <v>8</v>
      </c>
      <c r="D39" s="40" t="s">
        <v>8</v>
      </c>
      <c r="E39" s="41" t="s">
        <v>8</v>
      </c>
      <c r="F39" s="40" t="s">
        <v>8</v>
      </c>
      <c r="G39" s="368" t="s">
        <v>8</v>
      </c>
      <c r="H39" s="40" t="s">
        <v>8</v>
      </c>
      <c r="I39" s="40" t="s">
        <v>8</v>
      </c>
      <c r="J39" s="40" t="s">
        <v>8</v>
      </c>
    </row>
    <row r="40" spans="1:10" ht="15.75" thickTop="1">
      <c r="A40" s="40" t="s">
        <v>8</v>
      </c>
      <c r="B40" s="388" t="s">
        <v>8</v>
      </c>
      <c r="C40" s="363" t="s">
        <v>8</v>
      </c>
      <c r="D40" s="363" t="s">
        <v>8</v>
      </c>
      <c r="E40" s="389" t="s">
        <v>8</v>
      </c>
      <c r="F40" s="363" t="s">
        <v>8</v>
      </c>
      <c r="G40" s="390" t="s">
        <v>8</v>
      </c>
      <c r="H40" s="364" t="s">
        <v>8</v>
      </c>
      <c r="I40" s="40" t="s">
        <v>8</v>
      </c>
      <c r="J40" s="40" t="s">
        <v>8</v>
      </c>
    </row>
    <row r="41" spans="1:10">
      <c r="A41" s="40" t="s">
        <v>8</v>
      </c>
      <c r="B41" s="371" t="s">
        <v>8</v>
      </c>
      <c r="C41" s="1972" t="s">
        <v>8</v>
      </c>
      <c r="D41" s="1974" t="s">
        <v>114</v>
      </c>
      <c r="E41" s="1973">
        <f>ABS(E13+$E$20-$E$38+$E$26-$E$32)</f>
        <v>260500</v>
      </c>
      <c r="F41" s="1972" t="s">
        <v>8</v>
      </c>
      <c r="G41" s="1976" t="s">
        <v>8</v>
      </c>
      <c r="H41" s="372" t="s">
        <v>8</v>
      </c>
      <c r="I41" s="40" t="s">
        <v>8</v>
      </c>
      <c r="J41" s="40" t="s">
        <v>8</v>
      </c>
    </row>
    <row r="42" spans="1:10">
      <c r="A42" s="40" t="s">
        <v>8</v>
      </c>
      <c r="B42" s="371" t="s">
        <v>8</v>
      </c>
      <c r="C42" s="1972" t="s">
        <v>8</v>
      </c>
      <c r="D42" s="1974" t="s">
        <v>115</v>
      </c>
      <c r="E42" s="1973">
        <v>260500</v>
      </c>
      <c r="F42" s="1972" t="s">
        <v>8</v>
      </c>
      <c r="G42" s="1976" t="s">
        <v>8</v>
      </c>
      <c r="H42" s="372" t="s">
        <v>8</v>
      </c>
      <c r="I42" s="40" t="s">
        <v>116</v>
      </c>
      <c r="J42" s="40" t="s">
        <v>8</v>
      </c>
    </row>
    <row r="43" spans="1:10" ht="15.75" thickBot="1">
      <c r="A43" s="40" t="s">
        <v>8</v>
      </c>
      <c r="B43" s="373" t="s">
        <v>8</v>
      </c>
      <c r="C43" s="366" t="s">
        <v>8</v>
      </c>
      <c r="D43" s="374" t="s">
        <v>117</v>
      </c>
      <c r="E43" s="375">
        <f>$E$42-$E$41</f>
        <v>0</v>
      </c>
      <c r="F43" s="366" t="s">
        <v>8</v>
      </c>
      <c r="G43" s="376" t="s">
        <v>8</v>
      </c>
      <c r="H43" s="367" t="s">
        <v>8</v>
      </c>
      <c r="I43" s="40" t="s">
        <v>8</v>
      </c>
      <c r="J43" s="40" t="s">
        <v>8</v>
      </c>
    </row>
    <row r="44" spans="1:10" ht="16.5" thickTop="1" thickBot="1">
      <c r="A44" s="40" t="s">
        <v>8</v>
      </c>
      <c r="B44" s="369" t="s">
        <v>8</v>
      </c>
      <c r="C44" s="40" t="s">
        <v>8</v>
      </c>
      <c r="D44" s="40" t="s">
        <v>8</v>
      </c>
      <c r="E44" s="41" t="s">
        <v>8</v>
      </c>
      <c r="F44" s="40" t="s">
        <v>8</v>
      </c>
      <c r="G44" s="368" t="s">
        <v>8</v>
      </c>
      <c r="H44" s="40" t="s">
        <v>8</v>
      </c>
      <c r="I44" s="40" t="s">
        <v>8</v>
      </c>
      <c r="J44" s="40" t="s">
        <v>8</v>
      </c>
    </row>
    <row r="45" spans="1:10" ht="15.75" thickTop="1">
      <c r="A45" s="40" t="s">
        <v>8</v>
      </c>
      <c r="B45" s="388" t="s">
        <v>8</v>
      </c>
      <c r="C45" s="363" t="s">
        <v>8</v>
      </c>
      <c r="D45" s="370" t="s">
        <v>118</v>
      </c>
      <c r="E45" s="394" t="s">
        <v>119</v>
      </c>
      <c r="F45" s="370" t="s">
        <v>120</v>
      </c>
      <c r="G45" s="390">
        <v>45981</v>
      </c>
      <c r="H45" s="364" t="s">
        <v>8</v>
      </c>
      <c r="I45" s="40" t="s">
        <v>8</v>
      </c>
      <c r="J45" s="40" t="s">
        <v>8</v>
      </c>
    </row>
    <row r="46" spans="1:10">
      <c r="A46" s="40" t="s">
        <v>8</v>
      </c>
      <c r="B46" s="371" t="s">
        <v>8</v>
      </c>
      <c r="C46" s="1972" t="s">
        <v>8</v>
      </c>
      <c r="D46" s="1972" t="s">
        <v>8</v>
      </c>
      <c r="E46" s="1975" t="s">
        <v>8</v>
      </c>
      <c r="F46" s="1972" t="s">
        <v>8</v>
      </c>
      <c r="G46" s="1976" t="s">
        <v>8</v>
      </c>
      <c r="H46" s="372" t="s">
        <v>8</v>
      </c>
      <c r="I46" s="40" t="s">
        <v>8</v>
      </c>
      <c r="J46" s="40" t="s">
        <v>8</v>
      </c>
    </row>
    <row r="47" spans="1:10">
      <c r="A47" s="40" t="s">
        <v>8</v>
      </c>
      <c r="B47" s="371" t="s">
        <v>8</v>
      </c>
      <c r="C47" s="1972" t="s">
        <v>8</v>
      </c>
      <c r="D47" s="1972" t="s">
        <v>8</v>
      </c>
      <c r="E47" s="1975" t="s">
        <v>8</v>
      </c>
      <c r="F47" s="1972" t="s">
        <v>8</v>
      </c>
      <c r="G47" s="1976" t="s">
        <v>8</v>
      </c>
      <c r="H47" s="372" t="s">
        <v>8</v>
      </c>
      <c r="I47" s="40" t="s">
        <v>8</v>
      </c>
      <c r="J47" s="40" t="s">
        <v>8</v>
      </c>
    </row>
    <row r="48" spans="1:10">
      <c r="A48" s="40" t="s">
        <v>8</v>
      </c>
      <c r="B48" s="371" t="s">
        <v>8</v>
      </c>
      <c r="C48" s="1972" t="s">
        <v>8</v>
      </c>
      <c r="D48" s="1974" t="s">
        <v>121</v>
      </c>
      <c r="E48" s="1973" t="s">
        <v>8</v>
      </c>
      <c r="F48" s="1974" t="s">
        <v>120</v>
      </c>
      <c r="G48" s="1976" t="s">
        <v>8</v>
      </c>
      <c r="H48" s="372" t="s">
        <v>8</v>
      </c>
      <c r="I48" s="40" t="s">
        <v>8</v>
      </c>
      <c r="J48" s="40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28.855468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12</v>
      </c>
      <c r="J1" s="45" t="s">
        <v>13</v>
      </c>
    </row>
    <row r="2" spans="1:10">
      <c r="A2" s="43" t="s">
        <v>8</v>
      </c>
      <c r="B2" s="43" t="s">
        <v>8</v>
      </c>
      <c r="C2" s="43" t="s">
        <v>8</v>
      </c>
      <c r="D2" s="43" t="s">
        <v>8</v>
      </c>
      <c r="E2" s="43" t="s">
        <v>8</v>
      </c>
      <c r="F2" s="43" t="s">
        <v>8</v>
      </c>
      <c r="G2" s="43" t="s">
        <v>8</v>
      </c>
      <c r="H2" s="43" t="s">
        <v>8</v>
      </c>
      <c r="I2" s="43" t="s">
        <v>8</v>
      </c>
      <c r="J2" s="43" t="s">
        <v>8</v>
      </c>
    </row>
    <row r="3" spans="1:10" ht="15.75" thickBot="1">
      <c r="A3" s="43" t="s">
        <v>8</v>
      </c>
      <c r="B3" s="43" t="s">
        <v>8</v>
      </c>
      <c r="C3" s="43" t="s">
        <v>8</v>
      </c>
      <c r="D3" s="43" t="s">
        <v>8</v>
      </c>
      <c r="E3" s="43" t="s">
        <v>8</v>
      </c>
      <c r="F3" s="43" t="s">
        <v>8</v>
      </c>
      <c r="G3" s="43" t="s">
        <v>8</v>
      </c>
      <c r="H3" s="43" t="s">
        <v>8</v>
      </c>
      <c r="I3" s="43" t="s">
        <v>8</v>
      </c>
      <c r="J3" s="43" t="s">
        <v>8</v>
      </c>
    </row>
    <row r="4" spans="1:10" ht="16.5" thickTop="1" thickBot="1">
      <c r="A4" s="43" t="s">
        <v>8</v>
      </c>
      <c r="B4" s="43" t="s">
        <v>14</v>
      </c>
      <c r="C4" s="43" t="s">
        <v>8</v>
      </c>
      <c r="D4" s="396" t="s">
        <v>15</v>
      </c>
      <c r="E4" s="43" t="s">
        <v>16</v>
      </c>
      <c r="F4" s="396" t="s">
        <v>160</v>
      </c>
      <c r="G4" s="43" t="s">
        <v>8</v>
      </c>
      <c r="H4" s="43" t="s">
        <v>8</v>
      </c>
      <c r="I4" s="43" t="s">
        <v>8</v>
      </c>
      <c r="J4" s="43" t="s">
        <v>8</v>
      </c>
    </row>
    <row r="5" spans="1:10" ht="16.5" thickTop="1" thickBot="1">
      <c r="A5" s="43" t="s">
        <v>8</v>
      </c>
      <c r="B5" s="43" t="s">
        <v>8</v>
      </c>
      <c r="C5" s="43" t="s">
        <v>8</v>
      </c>
      <c r="D5" s="43" t="s">
        <v>8</v>
      </c>
      <c r="E5" s="43" t="s">
        <v>8</v>
      </c>
      <c r="F5" s="43" t="s">
        <v>8</v>
      </c>
      <c r="G5" s="43" t="s">
        <v>8</v>
      </c>
      <c r="H5" s="43" t="s">
        <v>8</v>
      </c>
      <c r="I5" s="43" t="s">
        <v>8</v>
      </c>
      <c r="J5" s="43" t="s">
        <v>8</v>
      </c>
    </row>
    <row r="6" spans="1:10" ht="16.5" thickTop="1" thickBot="1">
      <c r="A6" s="43" t="s">
        <v>8</v>
      </c>
      <c r="B6" s="43" t="s">
        <v>18</v>
      </c>
      <c r="C6" s="43" t="s">
        <v>8</v>
      </c>
      <c r="D6" s="396" t="s">
        <v>19</v>
      </c>
      <c r="E6" s="43" t="s">
        <v>20</v>
      </c>
      <c r="F6" s="396" t="s">
        <v>161</v>
      </c>
      <c r="G6" s="43" t="s">
        <v>8</v>
      </c>
      <c r="H6" s="43" t="s">
        <v>8</v>
      </c>
      <c r="I6" s="43" t="s">
        <v>8</v>
      </c>
      <c r="J6" s="43" t="s">
        <v>8</v>
      </c>
    </row>
    <row r="7" spans="1:10" ht="16.5" thickTop="1" thickBot="1">
      <c r="A7" s="43" t="s">
        <v>8</v>
      </c>
      <c r="B7" s="43" t="s">
        <v>8</v>
      </c>
      <c r="C7" s="43" t="s">
        <v>8</v>
      </c>
      <c r="D7" s="43" t="s">
        <v>8</v>
      </c>
      <c r="E7" s="43" t="s">
        <v>8</v>
      </c>
      <c r="F7" s="43" t="s">
        <v>8</v>
      </c>
      <c r="G7" s="43" t="s">
        <v>8</v>
      </c>
      <c r="H7" s="43" t="s">
        <v>8</v>
      </c>
      <c r="I7" s="43" t="s">
        <v>8</v>
      </c>
      <c r="J7" s="43" t="s">
        <v>8</v>
      </c>
    </row>
    <row r="8" spans="1:10" ht="16.5" thickTop="1" thickBot="1">
      <c r="A8" s="43" t="s">
        <v>8</v>
      </c>
      <c r="B8" s="43" t="s">
        <v>22</v>
      </c>
      <c r="C8" s="43" t="s">
        <v>8</v>
      </c>
      <c r="D8" s="396" t="s">
        <v>11</v>
      </c>
      <c r="E8" s="43" t="s">
        <v>23</v>
      </c>
      <c r="F8" s="396" t="s">
        <v>162</v>
      </c>
      <c r="G8" s="43" t="s">
        <v>8</v>
      </c>
      <c r="H8" s="43" t="s">
        <v>8</v>
      </c>
      <c r="I8" s="43" t="s">
        <v>8</v>
      </c>
      <c r="J8" s="43" t="s">
        <v>8</v>
      </c>
    </row>
    <row r="9" spans="1:10" ht="16.5" thickTop="1" thickBot="1">
      <c r="A9" s="43" t="s">
        <v>8</v>
      </c>
      <c r="B9" s="43" t="s">
        <v>8</v>
      </c>
      <c r="C9" s="43" t="s">
        <v>8</v>
      </c>
      <c r="D9" s="43" t="s">
        <v>8</v>
      </c>
      <c r="E9" s="43" t="s">
        <v>8</v>
      </c>
      <c r="F9" s="43" t="s">
        <v>8</v>
      </c>
      <c r="G9" s="43" t="s">
        <v>8</v>
      </c>
      <c r="H9" s="43" t="s">
        <v>8</v>
      </c>
      <c r="I9" s="43" t="s">
        <v>8</v>
      </c>
      <c r="J9" s="43" t="s">
        <v>8</v>
      </c>
    </row>
    <row r="10" spans="1:10" ht="16.5" thickTop="1" thickBot="1">
      <c r="A10" s="43" t="s">
        <v>8</v>
      </c>
      <c r="B10" s="43" t="s">
        <v>25</v>
      </c>
      <c r="C10" s="43" t="s">
        <v>8</v>
      </c>
      <c r="D10" s="396" t="s">
        <v>26</v>
      </c>
      <c r="E10" s="43" t="s">
        <v>8</v>
      </c>
      <c r="F10" s="43" t="s">
        <v>8</v>
      </c>
      <c r="G10" s="43" t="s">
        <v>8</v>
      </c>
      <c r="H10" s="43" t="s">
        <v>8</v>
      </c>
      <c r="I10" s="43" t="s">
        <v>8</v>
      </c>
      <c r="J10" s="43" t="s">
        <v>8</v>
      </c>
    </row>
    <row r="11" spans="1:10" ht="16.5" thickTop="1" thickBot="1">
      <c r="A11" s="43" t="s">
        <v>8</v>
      </c>
      <c r="B11" s="43" t="s">
        <v>8</v>
      </c>
      <c r="C11" s="43" t="s">
        <v>8</v>
      </c>
      <c r="D11" s="43" t="s">
        <v>8</v>
      </c>
      <c r="E11" s="43" t="s">
        <v>8</v>
      </c>
      <c r="F11" s="43" t="s">
        <v>8</v>
      </c>
      <c r="G11" s="43" t="s">
        <v>8</v>
      </c>
      <c r="H11" s="43" t="s">
        <v>8</v>
      </c>
      <c r="I11" s="43" t="s">
        <v>8</v>
      </c>
      <c r="J11" s="43" t="s">
        <v>8</v>
      </c>
    </row>
    <row r="12" spans="1:10" ht="16.5" thickTop="1" thickBot="1">
      <c r="A12" s="43" t="s">
        <v>8</v>
      </c>
      <c r="B12" s="397" t="s">
        <v>8</v>
      </c>
      <c r="C12" s="398" t="s">
        <v>8</v>
      </c>
      <c r="D12" s="398" t="s">
        <v>8</v>
      </c>
      <c r="E12" s="398" t="s">
        <v>8</v>
      </c>
      <c r="F12" s="398" t="s">
        <v>8</v>
      </c>
      <c r="G12" s="398" t="s">
        <v>8</v>
      </c>
      <c r="H12" s="399" t="s">
        <v>8</v>
      </c>
      <c r="I12" s="43" t="s">
        <v>8</v>
      </c>
      <c r="J12" s="43" t="s">
        <v>8</v>
      </c>
    </row>
    <row r="13" spans="1:10" ht="16.5" thickTop="1" thickBot="1">
      <c r="A13" s="43" t="s">
        <v>8</v>
      </c>
      <c r="B13" s="400" t="s">
        <v>8</v>
      </c>
      <c r="C13" s="395" t="s">
        <v>156</v>
      </c>
      <c r="D13" s="401" t="s">
        <v>28</v>
      </c>
      <c r="E13" s="410">
        <v>48843.199999999997</v>
      </c>
      <c r="F13" s="401" t="s">
        <v>8</v>
      </c>
      <c r="G13" s="401" t="s">
        <v>8</v>
      </c>
      <c r="H13" s="402" t="s">
        <v>8</v>
      </c>
      <c r="I13" s="43" t="s">
        <v>29</v>
      </c>
      <c r="J13" s="43" t="s">
        <v>8</v>
      </c>
    </row>
    <row r="14" spans="1:10" ht="16.5" thickTop="1" thickBot="1">
      <c r="A14" s="43" t="s">
        <v>8</v>
      </c>
      <c r="B14" s="43" t="s">
        <v>8</v>
      </c>
      <c r="C14" s="43" t="s">
        <v>8</v>
      </c>
      <c r="D14" s="43" t="s">
        <v>8</v>
      </c>
      <c r="E14" s="43" t="s">
        <v>8</v>
      </c>
      <c r="F14" s="43" t="s">
        <v>8</v>
      </c>
      <c r="G14" s="43" t="s">
        <v>8</v>
      </c>
      <c r="H14" s="43" t="s">
        <v>8</v>
      </c>
      <c r="I14" s="43" t="s">
        <v>8</v>
      </c>
      <c r="J14" s="43" t="s">
        <v>8</v>
      </c>
    </row>
    <row r="15" spans="1:10" ht="16.5" thickTop="1" thickBot="1">
      <c r="A15" s="43" t="s">
        <v>8</v>
      </c>
      <c r="B15" s="396" t="s">
        <v>30</v>
      </c>
      <c r="C15" s="395" t="s">
        <v>31</v>
      </c>
      <c r="D15" s="395" t="s">
        <v>32</v>
      </c>
      <c r="E15" s="395" t="s">
        <v>33</v>
      </c>
      <c r="F15" s="395" t="s">
        <v>34</v>
      </c>
      <c r="G15" s="395" t="s">
        <v>35</v>
      </c>
      <c r="H15" s="395" t="s">
        <v>36</v>
      </c>
      <c r="I15" s="43" t="s">
        <v>8</v>
      </c>
      <c r="J15" s="43" t="s">
        <v>8</v>
      </c>
    </row>
    <row r="16" spans="1:10" ht="16.5" thickTop="1" thickBot="1">
      <c r="A16" s="43" t="s">
        <v>8</v>
      </c>
      <c r="B16" s="43" t="s">
        <v>8</v>
      </c>
      <c r="C16" s="43" t="s">
        <v>8</v>
      </c>
      <c r="D16" s="43" t="s">
        <v>8</v>
      </c>
      <c r="E16" s="43" t="s">
        <v>8</v>
      </c>
      <c r="F16" s="43" t="s">
        <v>8</v>
      </c>
      <c r="G16" s="43" t="s">
        <v>8</v>
      </c>
      <c r="H16" s="43" t="s">
        <v>8</v>
      </c>
      <c r="I16" s="43" t="s">
        <v>8</v>
      </c>
      <c r="J16" s="43" t="s">
        <v>8</v>
      </c>
    </row>
    <row r="17" spans="1:10" ht="15.75" thickTop="1">
      <c r="A17" s="43" t="s">
        <v>8</v>
      </c>
      <c r="B17" s="412" t="s">
        <v>8</v>
      </c>
      <c r="C17" s="412" t="s">
        <v>8</v>
      </c>
      <c r="D17" s="417" t="s">
        <v>37</v>
      </c>
      <c r="E17" s="412" t="s">
        <v>8</v>
      </c>
      <c r="F17" s="412" t="s">
        <v>8</v>
      </c>
      <c r="G17" s="412" t="s">
        <v>8</v>
      </c>
      <c r="H17" s="399" t="s">
        <v>8</v>
      </c>
      <c r="I17" s="43" t="s">
        <v>8</v>
      </c>
      <c r="J17" s="43" t="s">
        <v>8</v>
      </c>
    </row>
    <row r="18" spans="1:10">
      <c r="A18" s="43" t="s">
        <v>8</v>
      </c>
      <c r="B18" s="413" t="s">
        <v>8</v>
      </c>
      <c r="C18" s="415" t="s">
        <v>8</v>
      </c>
      <c r="D18" s="415" t="s">
        <v>8</v>
      </c>
      <c r="E18" s="419" t="s">
        <v>8</v>
      </c>
      <c r="F18" s="415" t="s">
        <v>8</v>
      </c>
      <c r="G18" s="421" t="s">
        <v>8</v>
      </c>
      <c r="H18" s="407" t="s">
        <v>8</v>
      </c>
      <c r="I18" s="43" t="s">
        <v>8</v>
      </c>
      <c r="J18" s="43" t="s">
        <v>8</v>
      </c>
    </row>
    <row r="19" spans="1:10">
      <c r="A19" s="43" t="s">
        <v>8</v>
      </c>
      <c r="B19" s="413" t="s">
        <v>8</v>
      </c>
      <c r="C19" s="415" t="s">
        <v>8</v>
      </c>
      <c r="D19" s="415" t="s">
        <v>8</v>
      </c>
      <c r="E19" s="419" t="s">
        <v>8</v>
      </c>
      <c r="F19" s="415" t="s">
        <v>8</v>
      </c>
      <c r="G19" s="421" t="s">
        <v>8</v>
      </c>
      <c r="H19" s="407" t="s">
        <v>8</v>
      </c>
      <c r="I19" s="43" t="s">
        <v>8</v>
      </c>
      <c r="J19" s="43" t="s">
        <v>8</v>
      </c>
    </row>
    <row r="20" spans="1:10" ht="15.75" thickBot="1">
      <c r="A20" s="43" t="s">
        <v>8</v>
      </c>
      <c r="B20" s="414" t="s">
        <v>8</v>
      </c>
      <c r="C20" s="416" t="s">
        <v>8</v>
      </c>
      <c r="D20" s="418" t="s">
        <v>51</v>
      </c>
      <c r="E20" s="420">
        <f>SUM($E$18:$E$19)</f>
        <v>0</v>
      </c>
      <c r="F20" s="416" t="s">
        <v>8</v>
      </c>
      <c r="G20" s="422" t="s">
        <v>8</v>
      </c>
      <c r="H20" s="402" t="s">
        <v>8</v>
      </c>
      <c r="I20" s="43" t="s">
        <v>8</v>
      </c>
      <c r="J20" s="43" t="s">
        <v>8</v>
      </c>
    </row>
    <row r="21" spans="1:10" ht="15.75" thickTop="1">
      <c r="A21" s="43" t="s">
        <v>8</v>
      </c>
      <c r="B21" s="404" t="s">
        <v>8</v>
      </c>
      <c r="C21" s="43" t="s">
        <v>8</v>
      </c>
      <c r="D21" s="43" t="s">
        <v>8</v>
      </c>
      <c r="E21" s="44" t="s">
        <v>8</v>
      </c>
      <c r="F21" s="43" t="s">
        <v>8</v>
      </c>
      <c r="G21" s="403" t="s">
        <v>8</v>
      </c>
      <c r="H21" s="43" t="s">
        <v>8</v>
      </c>
      <c r="I21" s="43" t="s">
        <v>8</v>
      </c>
      <c r="J21" s="43" t="s">
        <v>8</v>
      </c>
    </row>
    <row r="22" spans="1:10" ht="15.75" thickBot="1">
      <c r="A22" s="43" t="s">
        <v>8</v>
      </c>
      <c r="B22" s="404" t="s">
        <v>8</v>
      </c>
      <c r="C22" s="43" t="s">
        <v>8</v>
      </c>
      <c r="D22" s="43" t="s">
        <v>8</v>
      </c>
      <c r="E22" s="44" t="s">
        <v>8</v>
      </c>
      <c r="F22" s="43" t="s">
        <v>8</v>
      </c>
      <c r="G22" s="403" t="s">
        <v>8</v>
      </c>
      <c r="H22" s="43" t="s">
        <v>8</v>
      </c>
      <c r="I22" s="43" t="s">
        <v>8</v>
      </c>
      <c r="J22" s="43" t="s">
        <v>8</v>
      </c>
    </row>
    <row r="23" spans="1:10" ht="15.75" thickTop="1">
      <c r="A23" s="43" t="s">
        <v>8</v>
      </c>
      <c r="B23" s="426" t="s">
        <v>8</v>
      </c>
      <c r="C23" s="412" t="s">
        <v>8</v>
      </c>
      <c r="D23" s="417" t="s">
        <v>52</v>
      </c>
      <c r="E23" s="427" t="s">
        <v>8</v>
      </c>
      <c r="F23" s="412" t="s">
        <v>8</v>
      </c>
      <c r="G23" s="428" t="s">
        <v>8</v>
      </c>
      <c r="H23" s="399" t="s">
        <v>8</v>
      </c>
      <c r="I23" s="43" t="s">
        <v>8</v>
      </c>
      <c r="J23" s="43" t="s">
        <v>8</v>
      </c>
    </row>
    <row r="24" spans="1:10">
      <c r="A24" s="43" t="s">
        <v>8</v>
      </c>
      <c r="B24" s="413" t="s">
        <v>8</v>
      </c>
      <c r="C24" s="415" t="s">
        <v>8</v>
      </c>
      <c r="D24" s="415" t="s">
        <v>8</v>
      </c>
      <c r="E24" s="419" t="s">
        <v>8</v>
      </c>
      <c r="F24" s="415" t="s">
        <v>8</v>
      </c>
      <c r="G24" s="421" t="s">
        <v>8</v>
      </c>
      <c r="H24" s="407" t="s">
        <v>8</v>
      </c>
      <c r="I24" s="43" t="s">
        <v>8</v>
      </c>
      <c r="J24" s="43" t="s">
        <v>8</v>
      </c>
    </row>
    <row r="25" spans="1:10">
      <c r="A25" s="43" t="s">
        <v>8</v>
      </c>
      <c r="B25" s="413" t="s">
        <v>8</v>
      </c>
      <c r="C25" s="415" t="s">
        <v>8</v>
      </c>
      <c r="D25" s="415" t="s">
        <v>8</v>
      </c>
      <c r="E25" s="419" t="s">
        <v>8</v>
      </c>
      <c r="F25" s="415" t="s">
        <v>8</v>
      </c>
      <c r="G25" s="421" t="s">
        <v>8</v>
      </c>
      <c r="H25" s="407" t="s">
        <v>8</v>
      </c>
      <c r="I25" s="43" t="s">
        <v>8</v>
      </c>
      <c r="J25" s="43" t="s">
        <v>8</v>
      </c>
    </row>
    <row r="26" spans="1:10" ht="15.75" thickBot="1">
      <c r="A26" s="43" t="s">
        <v>8</v>
      </c>
      <c r="B26" s="414" t="s">
        <v>8</v>
      </c>
      <c r="C26" s="416" t="s">
        <v>8</v>
      </c>
      <c r="D26" s="418" t="s">
        <v>51</v>
      </c>
      <c r="E26" s="420">
        <f>SUM($E$24:$E$25)</f>
        <v>0</v>
      </c>
      <c r="F26" s="416" t="s">
        <v>8</v>
      </c>
      <c r="G26" s="422" t="s">
        <v>8</v>
      </c>
      <c r="H26" s="402" t="s">
        <v>8</v>
      </c>
      <c r="I26" s="43" t="s">
        <v>8</v>
      </c>
      <c r="J26" s="43" t="s">
        <v>8</v>
      </c>
    </row>
    <row r="27" spans="1:10" ht="15.75" thickTop="1">
      <c r="A27" s="43" t="s">
        <v>8</v>
      </c>
      <c r="B27" s="404" t="s">
        <v>8</v>
      </c>
      <c r="C27" s="43" t="s">
        <v>8</v>
      </c>
      <c r="D27" s="43" t="s">
        <v>8</v>
      </c>
      <c r="E27" s="44" t="s">
        <v>8</v>
      </c>
      <c r="F27" s="43" t="s">
        <v>8</v>
      </c>
      <c r="G27" s="403" t="s">
        <v>8</v>
      </c>
      <c r="H27" s="43" t="s">
        <v>8</v>
      </c>
      <c r="I27" s="43" t="s">
        <v>8</v>
      </c>
      <c r="J27" s="43" t="s">
        <v>8</v>
      </c>
    </row>
    <row r="28" spans="1:10" ht="15.75" thickBot="1">
      <c r="A28" s="43" t="s">
        <v>8</v>
      </c>
      <c r="B28" s="404" t="s">
        <v>8</v>
      </c>
      <c r="C28" s="43" t="s">
        <v>8</v>
      </c>
      <c r="D28" s="43" t="s">
        <v>8</v>
      </c>
      <c r="E28" s="44" t="s">
        <v>8</v>
      </c>
      <c r="F28" s="43" t="s">
        <v>8</v>
      </c>
      <c r="G28" s="403" t="s">
        <v>8</v>
      </c>
      <c r="H28" s="43" t="s">
        <v>8</v>
      </c>
      <c r="I28" s="43" t="s">
        <v>8</v>
      </c>
      <c r="J28" s="43" t="s">
        <v>8</v>
      </c>
    </row>
    <row r="29" spans="1:10" ht="15.75" thickTop="1">
      <c r="A29" s="43" t="s">
        <v>8</v>
      </c>
      <c r="B29" s="426" t="s">
        <v>8</v>
      </c>
      <c r="C29" s="412" t="s">
        <v>8</v>
      </c>
      <c r="D29" s="417" t="s">
        <v>85</v>
      </c>
      <c r="E29" s="427" t="s">
        <v>8</v>
      </c>
      <c r="F29" s="412" t="s">
        <v>8</v>
      </c>
      <c r="G29" s="428" t="s">
        <v>8</v>
      </c>
      <c r="H29" s="399" t="s">
        <v>8</v>
      </c>
      <c r="I29" s="43" t="s">
        <v>8</v>
      </c>
      <c r="J29" s="43" t="s">
        <v>8</v>
      </c>
    </row>
    <row r="30" spans="1:10">
      <c r="A30" s="43" t="s">
        <v>8</v>
      </c>
      <c r="B30" s="413" t="s">
        <v>8</v>
      </c>
      <c r="C30" s="415" t="s">
        <v>8</v>
      </c>
      <c r="D30" s="415" t="s">
        <v>8</v>
      </c>
      <c r="E30" s="419" t="s">
        <v>8</v>
      </c>
      <c r="F30" s="415" t="s">
        <v>8</v>
      </c>
      <c r="G30" s="421" t="s">
        <v>8</v>
      </c>
      <c r="H30" s="407" t="s">
        <v>8</v>
      </c>
      <c r="I30" s="43" t="s">
        <v>8</v>
      </c>
      <c r="J30" s="43" t="s">
        <v>8</v>
      </c>
    </row>
    <row r="31" spans="1:10">
      <c r="A31" s="43" t="s">
        <v>8</v>
      </c>
      <c r="B31" s="413" t="s">
        <v>8</v>
      </c>
      <c r="C31" s="415" t="s">
        <v>8</v>
      </c>
      <c r="D31" s="415" t="s">
        <v>8</v>
      </c>
      <c r="E31" s="419" t="s">
        <v>8</v>
      </c>
      <c r="F31" s="415" t="s">
        <v>8</v>
      </c>
      <c r="G31" s="421" t="s">
        <v>8</v>
      </c>
      <c r="H31" s="407" t="s">
        <v>8</v>
      </c>
      <c r="I31" s="43" t="s">
        <v>8</v>
      </c>
      <c r="J31" s="43" t="s">
        <v>8</v>
      </c>
    </row>
    <row r="32" spans="1:10" ht="15.75" thickBot="1">
      <c r="A32" s="43" t="s">
        <v>8</v>
      </c>
      <c r="B32" s="414" t="s">
        <v>8</v>
      </c>
      <c r="C32" s="416" t="s">
        <v>8</v>
      </c>
      <c r="D32" s="418" t="s">
        <v>51</v>
      </c>
      <c r="E32" s="420">
        <f>SUM($E$30:$E$31)</f>
        <v>0</v>
      </c>
      <c r="F32" s="416" t="s">
        <v>8</v>
      </c>
      <c r="G32" s="422" t="s">
        <v>8</v>
      </c>
      <c r="H32" s="402" t="s">
        <v>8</v>
      </c>
      <c r="I32" s="43" t="s">
        <v>8</v>
      </c>
      <c r="J32" s="43" t="s">
        <v>8</v>
      </c>
    </row>
    <row r="33" spans="1:10" ht="15.75" thickTop="1">
      <c r="A33" s="43" t="s">
        <v>8</v>
      </c>
      <c r="B33" s="404" t="s">
        <v>8</v>
      </c>
      <c r="C33" s="43" t="s">
        <v>8</v>
      </c>
      <c r="D33" s="43" t="s">
        <v>8</v>
      </c>
      <c r="E33" s="44" t="s">
        <v>8</v>
      </c>
      <c r="F33" s="43" t="s">
        <v>8</v>
      </c>
      <c r="G33" s="403" t="s">
        <v>8</v>
      </c>
      <c r="H33" s="43" t="s">
        <v>8</v>
      </c>
      <c r="I33" s="43" t="s">
        <v>8</v>
      </c>
      <c r="J33" s="43" t="s">
        <v>8</v>
      </c>
    </row>
    <row r="34" spans="1:10" ht="15.75" thickBot="1">
      <c r="A34" s="43" t="s">
        <v>8</v>
      </c>
      <c r="B34" s="404" t="s">
        <v>8</v>
      </c>
      <c r="C34" s="43" t="s">
        <v>8</v>
      </c>
      <c r="D34" s="43" t="s">
        <v>8</v>
      </c>
      <c r="E34" s="44" t="s">
        <v>8</v>
      </c>
      <c r="F34" s="43" t="s">
        <v>8</v>
      </c>
      <c r="G34" s="403" t="s">
        <v>8</v>
      </c>
      <c r="H34" s="43" t="s">
        <v>8</v>
      </c>
      <c r="I34" s="43" t="s">
        <v>8</v>
      </c>
      <c r="J34" s="43" t="s">
        <v>8</v>
      </c>
    </row>
    <row r="35" spans="1:10" ht="15.75" thickTop="1">
      <c r="A35" s="43" t="s">
        <v>8</v>
      </c>
      <c r="B35" s="426" t="s">
        <v>8</v>
      </c>
      <c r="C35" s="412" t="s">
        <v>8</v>
      </c>
      <c r="D35" s="417" t="s">
        <v>95</v>
      </c>
      <c r="E35" s="427" t="s">
        <v>8</v>
      </c>
      <c r="F35" s="412" t="s">
        <v>8</v>
      </c>
      <c r="G35" s="428" t="s">
        <v>8</v>
      </c>
      <c r="H35" s="399" t="s">
        <v>8</v>
      </c>
      <c r="I35" s="43" t="s">
        <v>8</v>
      </c>
      <c r="J35" s="43" t="s">
        <v>8</v>
      </c>
    </row>
    <row r="36" spans="1:10">
      <c r="A36" s="43" t="s">
        <v>8</v>
      </c>
      <c r="B36" s="413" t="s">
        <v>8</v>
      </c>
      <c r="C36" s="415" t="s">
        <v>8</v>
      </c>
      <c r="D36" s="415" t="s">
        <v>8</v>
      </c>
      <c r="E36" s="419" t="s">
        <v>8</v>
      </c>
      <c r="F36" s="415" t="s">
        <v>8</v>
      </c>
      <c r="G36" s="421" t="s">
        <v>8</v>
      </c>
      <c r="H36" s="407" t="s">
        <v>8</v>
      </c>
      <c r="I36" s="43" t="s">
        <v>8</v>
      </c>
      <c r="J36" s="43" t="s">
        <v>8</v>
      </c>
    </row>
    <row r="37" spans="1:10">
      <c r="A37" s="43" t="s">
        <v>8</v>
      </c>
      <c r="B37" s="413" t="s">
        <v>8</v>
      </c>
      <c r="C37" s="415" t="s">
        <v>8</v>
      </c>
      <c r="D37" s="415" t="s">
        <v>8</v>
      </c>
      <c r="E37" s="419" t="s">
        <v>8</v>
      </c>
      <c r="F37" s="415" t="s">
        <v>8</v>
      </c>
      <c r="G37" s="421" t="s">
        <v>8</v>
      </c>
      <c r="H37" s="407" t="s">
        <v>8</v>
      </c>
      <c r="I37" s="43" t="s">
        <v>8</v>
      </c>
      <c r="J37" s="43" t="s">
        <v>8</v>
      </c>
    </row>
    <row r="38" spans="1:10" ht="15.75" thickBot="1">
      <c r="A38" s="43" t="s">
        <v>8</v>
      </c>
      <c r="B38" s="414" t="s">
        <v>8</v>
      </c>
      <c r="C38" s="416" t="s">
        <v>8</v>
      </c>
      <c r="D38" s="418" t="s">
        <v>51</v>
      </c>
      <c r="E38" s="420">
        <f>SUM($E$36:$E$37)</f>
        <v>0</v>
      </c>
      <c r="F38" s="416" t="s">
        <v>8</v>
      </c>
      <c r="G38" s="422" t="s">
        <v>8</v>
      </c>
      <c r="H38" s="402" t="s">
        <v>8</v>
      </c>
      <c r="I38" s="43" t="s">
        <v>8</v>
      </c>
      <c r="J38" s="43" t="s">
        <v>8</v>
      </c>
    </row>
    <row r="39" spans="1:10" ht="16.5" thickTop="1" thickBot="1">
      <c r="A39" s="43" t="s">
        <v>8</v>
      </c>
      <c r="B39" s="404" t="s">
        <v>8</v>
      </c>
      <c r="C39" s="43" t="s">
        <v>8</v>
      </c>
      <c r="D39" s="43" t="s">
        <v>8</v>
      </c>
      <c r="E39" s="44" t="s">
        <v>8</v>
      </c>
      <c r="F39" s="43" t="s">
        <v>8</v>
      </c>
      <c r="G39" s="403" t="s">
        <v>8</v>
      </c>
      <c r="H39" s="43" t="s">
        <v>8</v>
      </c>
      <c r="I39" s="43" t="s">
        <v>8</v>
      </c>
      <c r="J39" s="43" t="s">
        <v>8</v>
      </c>
    </row>
    <row r="40" spans="1:10" ht="15.75" thickTop="1">
      <c r="A40" s="43" t="s">
        <v>8</v>
      </c>
      <c r="B40" s="423" t="s">
        <v>8</v>
      </c>
      <c r="C40" s="398" t="s">
        <v>8</v>
      </c>
      <c r="D40" s="398" t="s">
        <v>8</v>
      </c>
      <c r="E40" s="424" t="s">
        <v>8</v>
      </c>
      <c r="F40" s="398" t="s">
        <v>8</v>
      </c>
      <c r="G40" s="425" t="s">
        <v>8</v>
      </c>
      <c r="H40" s="399" t="s">
        <v>8</v>
      </c>
      <c r="I40" s="43" t="s">
        <v>8</v>
      </c>
      <c r="J40" s="43" t="s">
        <v>8</v>
      </c>
    </row>
    <row r="41" spans="1:10">
      <c r="A41" s="43" t="s">
        <v>8</v>
      </c>
      <c r="B41" s="406" t="s">
        <v>8</v>
      </c>
      <c r="C41" s="1977" t="s">
        <v>8</v>
      </c>
      <c r="D41" s="1979" t="s">
        <v>114</v>
      </c>
      <c r="E41" s="1978">
        <f>ABS(E13+$E$20-$E$38+$E$26-$E$32)</f>
        <v>48843.199999999997</v>
      </c>
      <c r="F41" s="1977" t="s">
        <v>8</v>
      </c>
      <c r="G41" s="1981" t="s">
        <v>8</v>
      </c>
      <c r="H41" s="407" t="s">
        <v>8</v>
      </c>
      <c r="I41" s="43" t="s">
        <v>8</v>
      </c>
      <c r="J41" s="43" t="s">
        <v>8</v>
      </c>
    </row>
    <row r="42" spans="1:10">
      <c r="A42" s="43" t="s">
        <v>8</v>
      </c>
      <c r="B42" s="406" t="s">
        <v>8</v>
      </c>
      <c r="C42" s="1977" t="s">
        <v>8</v>
      </c>
      <c r="D42" s="1979" t="s">
        <v>115</v>
      </c>
      <c r="E42" s="1978">
        <v>48843.199999999997</v>
      </c>
      <c r="F42" s="1977" t="s">
        <v>8</v>
      </c>
      <c r="G42" s="1981" t="s">
        <v>8</v>
      </c>
      <c r="H42" s="407" t="s">
        <v>8</v>
      </c>
      <c r="I42" s="43" t="s">
        <v>116</v>
      </c>
      <c r="J42" s="43" t="s">
        <v>8</v>
      </c>
    </row>
    <row r="43" spans="1:10" ht="15.75" thickBot="1">
      <c r="A43" s="43" t="s">
        <v>8</v>
      </c>
      <c r="B43" s="408" t="s">
        <v>8</v>
      </c>
      <c r="C43" s="401" t="s">
        <v>8</v>
      </c>
      <c r="D43" s="409" t="s">
        <v>117</v>
      </c>
      <c r="E43" s="410">
        <f>$E$42-$E$41</f>
        <v>0</v>
      </c>
      <c r="F43" s="401" t="s">
        <v>8</v>
      </c>
      <c r="G43" s="411" t="s">
        <v>8</v>
      </c>
      <c r="H43" s="402" t="s">
        <v>8</v>
      </c>
      <c r="I43" s="43" t="s">
        <v>8</v>
      </c>
      <c r="J43" s="43" t="s">
        <v>8</v>
      </c>
    </row>
    <row r="44" spans="1:10" ht="16.5" thickTop="1" thickBot="1">
      <c r="A44" s="43" t="s">
        <v>8</v>
      </c>
      <c r="B44" s="404" t="s">
        <v>8</v>
      </c>
      <c r="C44" s="43" t="s">
        <v>8</v>
      </c>
      <c r="D44" s="43" t="s">
        <v>8</v>
      </c>
      <c r="E44" s="44" t="s">
        <v>8</v>
      </c>
      <c r="F44" s="43" t="s">
        <v>8</v>
      </c>
      <c r="G44" s="403" t="s">
        <v>8</v>
      </c>
      <c r="H44" s="43" t="s">
        <v>8</v>
      </c>
      <c r="I44" s="43" t="s">
        <v>8</v>
      </c>
      <c r="J44" s="43" t="s">
        <v>8</v>
      </c>
    </row>
    <row r="45" spans="1:10" ht="15.75" thickTop="1">
      <c r="A45" s="43" t="s">
        <v>8</v>
      </c>
      <c r="B45" s="423" t="s">
        <v>8</v>
      </c>
      <c r="C45" s="398" t="s">
        <v>8</v>
      </c>
      <c r="D45" s="405" t="s">
        <v>118</v>
      </c>
      <c r="E45" s="429" t="s">
        <v>119</v>
      </c>
      <c r="F45" s="405" t="s">
        <v>120</v>
      </c>
      <c r="G45" s="425">
        <v>45981</v>
      </c>
      <c r="H45" s="399" t="s">
        <v>8</v>
      </c>
      <c r="I45" s="43" t="s">
        <v>8</v>
      </c>
      <c r="J45" s="43" t="s">
        <v>8</v>
      </c>
    </row>
    <row r="46" spans="1:10">
      <c r="A46" s="43" t="s">
        <v>8</v>
      </c>
      <c r="B46" s="406" t="s">
        <v>8</v>
      </c>
      <c r="C46" s="1977" t="s">
        <v>8</v>
      </c>
      <c r="D46" s="1977" t="s">
        <v>8</v>
      </c>
      <c r="E46" s="1980" t="s">
        <v>8</v>
      </c>
      <c r="F46" s="1977" t="s">
        <v>8</v>
      </c>
      <c r="G46" s="1981" t="s">
        <v>8</v>
      </c>
      <c r="H46" s="407" t="s">
        <v>8</v>
      </c>
      <c r="I46" s="43" t="s">
        <v>8</v>
      </c>
      <c r="J46" s="43" t="s">
        <v>8</v>
      </c>
    </row>
    <row r="47" spans="1:10">
      <c r="A47" s="43" t="s">
        <v>8</v>
      </c>
      <c r="B47" s="406" t="s">
        <v>8</v>
      </c>
      <c r="C47" s="1977" t="s">
        <v>8</v>
      </c>
      <c r="D47" s="1977" t="s">
        <v>8</v>
      </c>
      <c r="E47" s="1980" t="s">
        <v>8</v>
      </c>
      <c r="F47" s="1977" t="s">
        <v>8</v>
      </c>
      <c r="G47" s="1981" t="s">
        <v>8</v>
      </c>
      <c r="H47" s="407" t="s">
        <v>8</v>
      </c>
      <c r="I47" s="43" t="s">
        <v>8</v>
      </c>
      <c r="J47" s="43" t="s">
        <v>8</v>
      </c>
    </row>
    <row r="48" spans="1:10">
      <c r="A48" s="43" t="s">
        <v>8</v>
      </c>
      <c r="B48" s="406" t="s">
        <v>8</v>
      </c>
      <c r="C48" s="1977" t="s">
        <v>8</v>
      </c>
      <c r="D48" s="1979" t="s">
        <v>121</v>
      </c>
      <c r="E48" s="1978" t="s">
        <v>8</v>
      </c>
      <c r="F48" s="1979" t="s">
        <v>120</v>
      </c>
      <c r="G48" s="1981" t="s">
        <v>8</v>
      </c>
      <c r="H48" s="407" t="s">
        <v>8</v>
      </c>
      <c r="I48" s="43" t="s">
        <v>8</v>
      </c>
      <c r="J48" s="43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30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12</v>
      </c>
      <c r="J1" s="48" t="s">
        <v>13</v>
      </c>
    </row>
    <row r="2" spans="1:10">
      <c r="A2" s="46" t="s">
        <v>8</v>
      </c>
      <c r="B2" s="46" t="s">
        <v>8</v>
      </c>
      <c r="C2" s="46" t="s">
        <v>8</v>
      </c>
      <c r="D2" s="46" t="s">
        <v>8</v>
      </c>
      <c r="E2" s="46" t="s">
        <v>8</v>
      </c>
      <c r="F2" s="46" t="s">
        <v>8</v>
      </c>
      <c r="G2" s="46" t="s">
        <v>8</v>
      </c>
      <c r="H2" s="46" t="s">
        <v>8</v>
      </c>
      <c r="I2" s="46" t="s">
        <v>8</v>
      </c>
      <c r="J2" s="46" t="s">
        <v>8</v>
      </c>
    </row>
    <row r="3" spans="1:10" ht="15.75" thickBot="1">
      <c r="A3" s="46" t="s">
        <v>8</v>
      </c>
      <c r="B3" s="46" t="s">
        <v>8</v>
      </c>
      <c r="C3" s="46" t="s">
        <v>8</v>
      </c>
      <c r="D3" s="46" t="s">
        <v>8</v>
      </c>
      <c r="E3" s="46" t="s">
        <v>8</v>
      </c>
      <c r="F3" s="46" t="s">
        <v>8</v>
      </c>
      <c r="G3" s="46" t="s">
        <v>8</v>
      </c>
      <c r="H3" s="46" t="s">
        <v>8</v>
      </c>
      <c r="I3" s="46" t="s">
        <v>8</v>
      </c>
      <c r="J3" s="46" t="s">
        <v>8</v>
      </c>
    </row>
    <row r="4" spans="1:10" ht="16.5" thickTop="1" thickBot="1">
      <c r="A4" s="46" t="s">
        <v>8</v>
      </c>
      <c r="B4" s="46" t="s">
        <v>14</v>
      </c>
      <c r="C4" s="46" t="s">
        <v>8</v>
      </c>
      <c r="D4" s="431" t="s">
        <v>15</v>
      </c>
      <c r="E4" s="46" t="s">
        <v>16</v>
      </c>
      <c r="F4" s="431" t="s">
        <v>163</v>
      </c>
      <c r="G4" s="46" t="s">
        <v>8</v>
      </c>
      <c r="H4" s="46" t="s">
        <v>8</v>
      </c>
      <c r="I4" s="46" t="s">
        <v>8</v>
      </c>
      <c r="J4" s="46" t="s">
        <v>8</v>
      </c>
    </row>
    <row r="5" spans="1:10" ht="16.5" thickTop="1" thickBot="1">
      <c r="A5" s="46" t="s">
        <v>8</v>
      </c>
      <c r="B5" s="46" t="s">
        <v>8</v>
      </c>
      <c r="C5" s="46" t="s">
        <v>8</v>
      </c>
      <c r="D5" s="46" t="s">
        <v>8</v>
      </c>
      <c r="E5" s="46" t="s">
        <v>8</v>
      </c>
      <c r="F5" s="46" t="s">
        <v>8</v>
      </c>
      <c r="G5" s="46" t="s">
        <v>8</v>
      </c>
      <c r="H5" s="46" t="s">
        <v>8</v>
      </c>
      <c r="I5" s="46" t="s">
        <v>8</v>
      </c>
      <c r="J5" s="46" t="s">
        <v>8</v>
      </c>
    </row>
    <row r="6" spans="1:10" ht="16.5" thickTop="1" thickBot="1">
      <c r="A6" s="46" t="s">
        <v>8</v>
      </c>
      <c r="B6" s="46" t="s">
        <v>18</v>
      </c>
      <c r="C6" s="46" t="s">
        <v>8</v>
      </c>
      <c r="D6" s="431" t="s">
        <v>19</v>
      </c>
      <c r="E6" s="46" t="s">
        <v>20</v>
      </c>
      <c r="F6" s="431" t="s">
        <v>164</v>
      </c>
      <c r="G6" s="46" t="s">
        <v>8</v>
      </c>
      <c r="H6" s="46" t="s">
        <v>8</v>
      </c>
      <c r="I6" s="46" t="s">
        <v>8</v>
      </c>
      <c r="J6" s="46" t="s">
        <v>8</v>
      </c>
    </row>
    <row r="7" spans="1:10" ht="16.5" thickTop="1" thickBot="1">
      <c r="A7" s="46" t="s">
        <v>8</v>
      </c>
      <c r="B7" s="46" t="s">
        <v>8</v>
      </c>
      <c r="C7" s="46" t="s">
        <v>8</v>
      </c>
      <c r="D7" s="46" t="s">
        <v>8</v>
      </c>
      <c r="E7" s="46" t="s">
        <v>8</v>
      </c>
      <c r="F7" s="46" t="s">
        <v>8</v>
      </c>
      <c r="G7" s="46" t="s">
        <v>8</v>
      </c>
      <c r="H7" s="46" t="s">
        <v>8</v>
      </c>
      <c r="I7" s="46" t="s">
        <v>8</v>
      </c>
      <c r="J7" s="46" t="s">
        <v>8</v>
      </c>
    </row>
    <row r="8" spans="1:10" ht="16.5" thickTop="1" thickBot="1">
      <c r="A8" s="46" t="s">
        <v>8</v>
      </c>
      <c r="B8" s="46" t="s">
        <v>22</v>
      </c>
      <c r="C8" s="46" t="s">
        <v>8</v>
      </c>
      <c r="D8" s="431" t="s">
        <v>11</v>
      </c>
      <c r="E8" s="46" t="s">
        <v>23</v>
      </c>
      <c r="F8" s="431" t="s">
        <v>165</v>
      </c>
      <c r="G8" s="46" t="s">
        <v>8</v>
      </c>
      <c r="H8" s="46" t="s">
        <v>8</v>
      </c>
      <c r="I8" s="46" t="s">
        <v>8</v>
      </c>
      <c r="J8" s="46" t="s">
        <v>8</v>
      </c>
    </row>
    <row r="9" spans="1:10" ht="16.5" thickTop="1" thickBot="1">
      <c r="A9" s="46" t="s">
        <v>8</v>
      </c>
      <c r="B9" s="46" t="s">
        <v>8</v>
      </c>
      <c r="C9" s="46" t="s">
        <v>8</v>
      </c>
      <c r="D9" s="46" t="s">
        <v>8</v>
      </c>
      <c r="E9" s="46" t="s">
        <v>8</v>
      </c>
      <c r="F9" s="46" t="s">
        <v>8</v>
      </c>
      <c r="G9" s="46" t="s">
        <v>8</v>
      </c>
      <c r="H9" s="46" t="s">
        <v>8</v>
      </c>
      <c r="I9" s="46" t="s">
        <v>8</v>
      </c>
      <c r="J9" s="46" t="s">
        <v>8</v>
      </c>
    </row>
    <row r="10" spans="1:10" ht="16.5" thickTop="1" thickBot="1">
      <c r="A10" s="46" t="s">
        <v>8</v>
      </c>
      <c r="B10" s="46" t="s">
        <v>25</v>
      </c>
      <c r="C10" s="46" t="s">
        <v>8</v>
      </c>
      <c r="D10" s="431" t="s">
        <v>26</v>
      </c>
      <c r="E10" s="46" t="s">
        <v>8</v>
      </c>
      <c r="F10" s="46" t="s">
        <v>8</v>
      </c>
      <c r="G10" s="46" t="s">
        <v>8</v>
      </c>
      <c r="H10" s="46" t="s">
        <v>8</v>
      </c>
      <c r="I10" s="46" t="s">
        <v>8</v>
      </c>
      <c r="J10" s="46" t="s">
        <v>8</v>
      </c>
    </row>
    <row r="11" spans="1:10" ht="16.5" thickTop="1" thickBot="1">
      <c r="A11" s="46" t="s">
        <v>8</v>
      </c>
      <c r="B11" s="46" t="s">
        <v>8</v>
      </c>
      <c r="C11" s="46" t="s">
        <v>8</v>
      </c>
      <c r="D11" s="46" t="s">
        <v>8</v>
      </c>
      <c r="E11" s="46" t="s">
        <v>8</v>
      </c>
      <c r="F11" s="46" t="s">
        <v>8</v>
      </c>
      <c r="G11" s="46" t="s">
        <v>8</v>
      </c>
      <c r="H11" s="46" t="s">
        <v>8</v>
      </c>
      <c r="I11" s="46" t="s">
        <v>8</v>
      </c>
      <c r="J11" s="46" t="s">
        <v>8</v>
      </c>
    </row>
    <row r="12" spans="1:10" ht="16.5" thickTop="1" thickBot="1">
      <c r="A12" s="46" t="s">
        <v>8</v>
      </c>
      <c r="B12" s="432" t="s">
        <v>8</v>
      </c>
      <c r="C12" s="433" t="s">
        <v>8</v>
      </c>
      <c r="D12" s="433" t="s">
        <v>8</v>
      </c>
      <c r="E12" s="433" t="s">
        <v>8</v>
      </c>
      <c r="F12" s="433" t="s">
        <v>8</v>
      </c>
      <c r="G12" s="433" t="s">
        <v>8</v>
      </c>
      <c r="H12" s="434" t="s">
        <v>8</v>
      </c>
      <c r="I12" s="46" t="s">
        <v>8</v>
      </c>
      <c r="J12" s="46" t="s">
        <v>8</v>
      </c>
    </row>
    <row r="13" spans="1:10" ht="16.5" thickTop="1" thickBot="1">
      <c r="A13" s="46" t="s">
        <v>8</v>
      </c>
      <c r="B13" s="435" t="s">
        <v>8</v>
      </c>
      <c r="C13" s="430" t="s">
        <v>48</v>
      </c>
      <c r="D13" s="436" t="s">
        <v>28</v>
      </c>
      <c r="E13" s="445">
        <v>46082773</v>
      </c>
      <c r="F13" s="436" t="s">
        <v>8</v>
      </c>
      <c r="G13" s="436" t="s">
        <v>8</v>
      </c>
      <c r="H13" s="437" t="s">
        <v>8</v>
      </c>
      <c r="I13" s="46" t="s">
        <v>29</v>
      </c>
      <c r="J13" s="46" t="s">
        <v>8</v>
      </c>
    </row>
    <row r="14" spans="1:10" ht="16.5" thickTop="1" thickBot="1">
      <c r="A14" s="46" t="s">
        <v>8</v>
      </c>
      <c r="B14" s="46" t="s">
        <v>8</v>
      </c>
      <c r="C14" s="46" t="s">
        <v>8</v>
      </c>
      <c r="D14" s="46" t="s">
        <v>8</v>
      </c>
      <c r="E14" s="46" t="s">
        <v>8</v>
      </c>
      <c r="F14" s="46" t="s">
        <v>8</v>
      </c>
      <c r="G14" s="46" t="s">
        <v>8</v>
      </c>
      <c r="H14" s="46" t="s">
        <v>8</v>
      </c>
      <c r="I14" s="46" t="s">
        <v>8</v>
      </c>
      <c r="J14" s="46" t="s">
        <v>8</v>
      </c>
    </row>
    <row r="15" spans="1:10" ht="16.5" thickTop="1" thickBot="1">
      <c r="A15" s="46" t="s">
        <v>8</v>
      </c>
      <c r="B15" s="431" t="s">
        <v>30</v>
      </c>
      <c r="C15" s="430" t="s">
        <v>31</v>
      </c>
      <c r="D15" s="430" t="s">
        <v>32</v>
      </c>
      <c r="E15" s="430" t="s">
        <v>33</v>
      </c>
      <c r="F15" s="430" t="s">
        <v>34</v>
      </c>
      <c r="G15" s="430" t="s">
        <v>35</v>
      </c>
      <c r="H15" s="430" t="s">
        <v>36</v>
      </c>
      <c r="I15" s="46" t="s">
        <v>8</v>
      </c>
      <c r="J15" s="46" t="s">
        <v>8</v>
      </c>
    </row>
    <row r="16" spans="1:10" ht="16.5" thickTop="1" thickBot="1">
      <c r="A16" s="46" t="s">
        <v>8</v>
      </c>
      <c r="B16" s="46" t="s">
        <v>8</v>
      </c>
      <c r="C16" s="46" t="s">
        <v>8</v>
      </c>
      <c r="D16" s="46" t="s">
        <v>8</v>
      </c>
      <c r="E16" s="46" t="s">
        <v>8</v>
      </c>
      <c r="F16" s="46" t="s">
        <v>8</v>
      </c>
      <c r="G16" s="46" t="s">
        <v>8</v>
      </c>
      <c r="H16" s="46" t="s">
        <v>8</v>
      </c>
      <c r="I16" s="46" t="s">
        <v>8</v>
      </c>
      <c r="J16" s="46" t="s">
        <v>8</v>
      </c>
    </row>
    <row r="17" spans="1:10" ht="15.75" thickTop="1">
      <c r="A17" s="46" t="s">
        <v>8</v>
      </c>
      <c r="B17" s="447" t="s">
        <v>8</v>
      </c>
      <c r="C17" s="447" t="s">
        <v>8</v>
      </c>
      <c r="D17" s="452" t="s">
        <v>37</v>
      </c>
      <c r="E17" s="447" t="s">
        <v>8</v>
      </c>
      <c r="F17" s="447" t="s">
        <v>8</v>
      </c>
      <c r="G17" s="447" t="s">
        <v>8</v>
      </c>
      <c r="H17" s="434" t="s">
        <v>8</v>
      </c>
      <c r="I17" s="46" t="s">
        <v>8</v>
      </c>
      <c r="J17" s="46" t="s">
        <v>8</v>
      </c>
    </row>
    <row r="18" spans="1:10">
      <c r="A18" s="46" t="s">
        <v>8</v>
      </c>
      <c r="B18" s="448" t="s">
        <v>8</v>
      </c>
      <c r="C18" s="450" t="s">
        <v>8</v>
      </c>
      <c r="D18" s="450" t="s">
        <v>8</v>
      </c>
      <c r="E18" s="454" t="s">
        <v>8</v>
      </c>
      <c r="F18" s="450" t="s">
        <v>8</v>
      </c>
      <c r="G18" s="456" t="s">
        <v>8</v>
      </c>
      <c r="H18" s="442" t="s">
        <v>8</v>
      </c>
      <c r="I18" s="46" t="s">
        <v>8</v>
      </c>
      <c r="J18" s="46" t="s">
        <v>8</v>
      </c>
    </row>
    <row r="19" spans="1:10">
      <c r="A19" s="46" t="s">
        <v>8</v>
      </c>
      <c r="B19" s="448" t="s">
        <v>8</v>
      </c>
      <c r="C19" s="450" t="s">
        <v>8</v>
      </c>
      <c r="D19" s="450" t="s">
        <v>8</v>
      </c>
      <c r="E19" s="454" t="s">
        <v>8</v>
      </c>
      <c r="F19" s="450" t="s">
        <v>8</v>
      </c>
      <c r="G19" s="456" t="s">
        <v>8</v>
      </c>
      <c r="H19" s="442" t="s">
        <v>8</v>
      </c>
      <c r="I19" s="46" t="s">
        <v>8</v>
      </c>
      <c r="J19" s="46" t="s">
        <v>8</v>
      </c>
    </row>
    <row r="20" spans="1:10" ht="15.75" thickBot="1">
      <c r="A20" s="46" t="s">
        <v>8</v>
      </c>
      <c r="B20" s="449" t="s">
        <v>8</v>
      </c>
      <c r="C20" s="451" t="s">
        <v>8</v>
      </c>
      <c r="D20" s="453" t="s">
        <v>51</v>
      </c>
      <c r="E20" s="455">
        <f>SUM($E$18:$E$19)</f>
        <v>0</v>
      </c>
      <c r="F20" s="451" t="s">
        <v>8</v>
      </c>
      <c r="G20" s="457" t="s">
        <v>8</v>
      </c>
      <c r="H20" s="437" t="s">
        <v>8</v>
      </c>
      <c r="I20" s="46" t="s">
        <v>8</v>
      </c>
      <c r="J20" s="46" t="s">
        <v>8</v>
      </c>
    </row>
    <row r="21" spans="1:10" ht="15.75" thickTop="1">
      <c r="A21" s="46" t="s">
        <v>8</v>
      </c>
      <c r="B21" s="439" t="s">
        <v>8</v>
      </c>
      <c r="C21" s="46" t="s">
        <v>8</v>
      </c>
      <c r="D21" s="46" t="s">
        <v>8</v>
      </c>
      <c r="E21" s="47" t="s">
        <v>8</v>
      </c>
      <c r="F21" s="46" t="s">
        <v>8</v>
      </c>
      <c r="G21" s="438" t="s">
        <v>8</v>
      </c>
      <c r="H21" s="46" t="s">
        <v>8</v>
      </c>
      <c r="I21" s="46" t="s">
        <v>8</v>
      </c>
      <c r="J21" s="46" t="s">
        <v>8</v>
      </c>
    </row>
    <row r="22" spans="1:10" ht="15.75" thickBot="1">
      <c r="A22" s="46" t="s">
        <v>8</v>
      </c>
      <c r="B22" s="439" t="s">
        <v>8</v>
      </c>
      <c r="C22" s="46" t="s">
        <v>8</v>
      </c>
      <c r="D22" s="46" t="s">
        <v>8</v>
      </c>
      <c r="E22" s="47" t="s">
        <v>8</v>
      </c>
      <c r="F22" s="46" t="s">
        <v>8</v>
      </c>
      <c r="G22" s="438" t="s">
        <v>8</v>
      </c>
      <c r="H22" s="46" t="s">
        <v>8</v>
      </c>
      <c r="I22" s="46" t="s">
        <v>8</v>
      </c>
      <c r="J22" s="46" t="s">
        <v>8</v>
      </c>
    </row>
    <row r="23" spans="1:10" ht="15.75" thickTop="1">
      <c r="A23" s="46" t="s">
        <v>8</v>
      </c>
      <c r="B23" s="461" t="s">
        <v>8</v>
      </c>
      <c r="C23" s="447" t="s">
        <v>8</v>
      </c>
      <c r="D23" s="452" t="s">
        <v>52</v>
      </c>
      <c r="E23" s="462" t="s">
        <v>8</v>
      </c>
      <c r="F23" s="447" t="s">
        <v>8</v>
      </c>
      <c r="G23" s="463" t="s">
        <v>8</v>
      </c>
      <c r="H23" s="434" t="s">
        <v>8</v>
      </c>
      <c r="I23" s="46" t="s">
        <v>8</v>
      </c>
      <c r="J23" s="46" t="s">
        <v>8</v>
      </c>
    </row>
    <row r="24" spans="1:10">
      <c r="A24" s="46" t="s">
        <v>8</v>
      </c>
      <c r="B24" s="448" t="s">
        <v>8</v>
      </c>
      <c r="C24" s="450" t="s">
        <v>8</v>
      </c>
      <c r="D24" s="450" t="s">
        <v>8</v>
      </c>
      <c r="E24" s="454" t="s">
        <v>8</v>
      </c>
      <c r="F24" s="450" t="s">
        <v>8</v>
      </c>
      <c r="G24" s="456" t="s">
        <v>8</v>
      </c>
      <c r="H24" s="442" t="s">
        <v>8</v>
      </c>
      <c r="I24" s="46" t="s">
        <v>8</v>
      </c>
      <c r="J24" s="46" t="s">
        <v>8</v>
      </c>
    </row>
    <row r="25" spans="1:10">
      <c r="A25" s="46" t="s">
        <v>8</v>
      </c>
      <c r="B25" s="448" t="s">
        <v>8</v>
      </c>
      <c r="C25" s="450" t="s">
        <v>8</v>
      </c>
      <c r="D25" s="450" t="s">
        <v>8</v>
      </c>
      <c r="E25" s="454" t="s">
        <v>8</v>
      </c>
      <c r="F25" s="450" t="s">
        <v>8</v>
      </c>
      <c r="G25" s="456" t="s">
        <v>8</v>
      </c>
      <c r="H25" s="442" t="s">
        <v>8</v>
      </c>
      <c r="I25" s="46" t="s">
        <v>8</v>
      </c>
      <c r="J25" s="46" t="s">
        <v>8</v>
      </c>
    </row>
    <row r="26" spans="1:10" ht="15.75" thickBot="1">
      <c r="A26" s="46" t="s">
        <v>8</v>
      </c>
      <c r="B26" s="449" t="s">
        <v>8</v>
      </c>
      <c r="C26" s="451" t="s">
        <v>8</v>
      </c>
      <c r="D26" s="453" t="s">
        <v>51</v>
      </c>
      <c r="E26" s="455">
        <f>SUM($E$24:$E$25)</f>
        <v>0</v>
      </c>
      <c r="F26" s="451" t="s">
        <v>8</v>
      </c>
      <c r="G26" s="457" t="s">
        <v>8</v>
      </c>
      <c r="H26" s="437" t="s">
        <v>8</v>
      </c>
      <c r="I26" s="46" t="s">
        <v>8</v>
      </c>
      <c r="J26" s="46" t="s">
        <v>8</v>
      </c>
    </row>
    <row r="27" spans="1:10" ht="15.75" thickTop="1">
      <c r="A27" s="46" t="s">
        <v>8</v>
      </c>
      <c r="B27" s="439" t="s">
        <v>8</v>
      </c>
      <c r="C27" s="46" t="s">
        <v>8</v>
      </c>
      <c r="D27" s="46" t="s">
        <v>8</v>
      </c>
      <c r="E27" s="47" t="s">
        <v>8</v>
      </c>
      <c r="F27" s="46" t="s">
        <v>8</v>
      </c>
      <c r="G27" s="438" t="s">
        <v>8</v>
      </c>
      <c r="H27" s="46" t="s">
        <v>8</v>
      </c>
      <c r="I27" s="46" t="s">
        <v>8</v>
      </c>
      <c r="J27" s="46" t="s">
        <v>8</v>
      </c>
    </row>
    <row r="28" spans="1:10" ht="15.75" thickBot="1">
      <c r="A28" s="46" t="s">
        <v>8</v>
      </c>
      <c r="B28" s="439" t="s">
        <v>8</v>
      </c>
      <c r="C28" s="46" t="s">
        <v>8</v>
      </c>
      <c r="D28" s="46" t="s">
        <v>8</v>
      </c>
      <c r="E28" s="47" t="s">
        <v>8</v>
      </c>
      <c r="F28" s="46" t="s">
        <v>8</v>
      </c>
      <c r="G28" s="438" t="s">
        <v>8</v>
      </c>
      <c r="H28" s="46" t="s">
        <v>8</v>
      </c>
      <c r="I28" s="46" t="s">
        <v>8</v>
      </c>
      <c r="J28" s="46" t="s">
        <v>8</v>
      </c>
    </row>
    <row r="29" spans="1:10" ht="15.75" thickTop="1">
      <c r="A29" s="46" t="s">
        <v>8</v>
      </c>
      <c r="B29" s="461" t="s">
        <v>8</v>
      </c>
      <c r="C29" s="447" t="s">
        <v>8</v>
      </c>
      <c r="D29" s="452" t="s">
        <v>85</v>
      </c>
      <c r="E29" s="462" t="s">
        <v>8</v>
      </c>
      <c r="F29" s="447" t="s">
        <v>8</v>
      </c>
      <c r="G29" s="463" t="s">
        <v>8</v>
      </c>
      <c r="H29" s="434" t="s">
        <v>8</v>
      </c>
      <c r="I29" s="46" t="s">
        <v>8</v>
      </c>
      <c r="J29" s="46" t="s">
        <v>8</v>
      </c>
    </row>
    <row r="30" spans="1:10">
      <c r="A30" s="46" t="s">
        <v>8</v>
      </c>
      <c r="B30" s="448" t="s">
        <v>8</v>
      </c>
      <c r="C30" s="450" t="s">
        <v>8</v>
      </c>
      <c r="D30" s="450" t="s">
        <v>8</v>
      </c>
      <c r="E30" s="454" t="s">
        <v>8</v>
      </c>
      <c r="F30" s="450" t="s">
        <v>8</v>
      </c>
      <c r="G30" s="456" t="s">
        <v>8</v>
      </c>
      <c r="H30" s="442" t="s">
        <v>8</v>
      </c>
      <c r="I30" s="46" t="s">
        <v>8</v>
      </c>
      <c r="J30" s="46" t="s">
        <v>8</v>
      </c>
    </row>
    <row r="31" spans="1:10">
      <c r="A31" s="46" t="s">
        <v>8</v>
      </c>
      <c r="B31" s="448" t="s">
        <v>8</v>
      </c>
      <c r="C31" s="450" t="s">
        <v>8</v>
      </c>
      <c r="D31" s="450" t="s">
        <v>8</v>
      </c>
      <c r="E31" s="454" t="s">
        <v>8</v>
      </c>
      <c r="F31" s="450" t="s">
        <v>8</v>
      </c>
      <c r="G31" s="456" t="s">
        <v>8</v>
      </c>
      <c r="H31" s="442" t="s">
        <v>8</v>
      </c>
      <c r="I31" s="46" t="s">
        <v>8</v>
      </c>
      <c r="J31" s="46" t="s">
        <v>8</v>
      </c>
    </row>
    <row r="32" spans="1:10" ht="15.75" thickBot="1">
      <c r="A32" s="46" t="s">
        <v>8</v>
      </c>
      <c r="B32" s="449" t="s">
        <v>8</v>
      </c>
      <c r="C32" s="451" t="s">
        <v>8</v>
      </c>
      <c r="D32" s="453" t="s">
        <v>51</v>
      </c>
      <c r="E32" s="455">
        <f>SUM($E$30:$E$31)</f>
        <v>0</v>
      </c>
      <c r="F32" s="451" t="s">
        <v>8</v>
      </c>
      <c r="G32" s="457" t="s">
        <v>8</v>
      </c>
      <c r="H32" s="437" t="s">
        <v>8</v>
      </c>
      <c r="I32" s="46" t="s">
        <v>8</v>
      </c>
      <c r="J32" s="46" t="s">
        <v>8</v>
      </c>
    </row>
    <row r="33" spans="1:10" ht="15.75" thickTop="1">
      <c r="A33" s="46" t="s">
        <v>8</v>
      </c>
      <c r="B33" s="439" t="s">
        <v>8</v>
      </c>
      <c r="C33" s="46" t="s">
        <v>8</v>
      </c>
      <c r="D33" s="46" t="s">
        <v>8</v>
      </c>
      <c r="E33" s="47" t="s">
        <v>8</v>
      </c>
      <c r="F33" s="46" t="s">
        <v>8</v>
      </c>
      <c r="G33" s="438" t="s">
        <v>8</v>
      </c>
      <c r="H33" s="46" t="s">
        <v>8</v>
      </c>
      <c r="I33" s="46" t="s">
        <v>8</v>
      </c>
      <c r="J33" s="46" t="s">
        <v>8</v>
      </c>
    </row>
    <row r="34" spans="1:10" ht="15.75" thickBot="1">
      <c r="A34" s="46" t="s">
        <v>8</v>
      </c>
      <c r="B34" s="439" t="s">
        <v>8</v>
      </c>
      <c r="C34" s="46" t="s">
        <v>8</v>
      </c>
      <c r="D34" s="46" t="s">
        <v>8</v>
      </c>
      <c r="E34" s="47" t="s">
        <v>8</v>
      </c>
      <c r="F34" s="46" t="s">
        <v>8</v>
      </c>
      <c r="G34" s="438" t="s">
        <v>8</v>
      </c>
      <c r="H34" s="46" t="s">
        <v>8</v>
      </c>
      <c r="I34" s="46" t="s">
        <v>8</v>
      </c>
      <c r="J34" s="46" t="s">
        <v>8</v>
      </c>
    </row>
    <row r="35" spans="1:10" ht="15.75" thickTop="1">
      <c r="A35" s="46" t="s">
        <v>8</v>
      </c>
      <c r="B35" s="461" t="s">
        <v>8</v>
      </c>
      <c r="C35" s="447" t="s">
        <v>8</v>
      </c>
      <c r="D35" s="452" t="s">
        <v>95</v>
      </c>
      <c r="E35" s="462" t="s">
        <v>8</v>
      </c>
      <c r="F35" s="447" t="s">
        <v>8</v>
      </c>
      <c r="G35" s="463" t="s">
        <v>8</v>
      </c>
      <c r="H35" s="434" t="s">
        <v>8</v>
      </c>
      <c r="I35" s="46" t="s">
        <v>8</v>
      </c>
      <c r="J35" s="46" t="s">
        <v>8</v>
      </c>
    </row>
    <row r="36" spans="1:10">
      <c r="A36" s="46" t="s">
        <v>8</v>
      </c>
      <c r="B36" s="448" t="s">
        <v>8</v>
      </c>
      <c r="C36" s="450" t="s">
        <v>8</v>
      </c>
      <c r="D36" s="450" t="s">
        <v>8</v>
      </c>
      <c r="E36" s="454" t="s">
        <v>8</v>
      </c>
      <c r="F36" s="450" t="s">
        <v>8</v>
      </c>
      <c r="G36" s="456" t="s">
        <v>8</v>
      </c>
      <c r="H36" s="442" t="s">
        <v>8</v>
      </c>
      <c r="I36" s="46" t="s">
        <v>8</v>
      </c>
      <c r="J36" s="46" t="s">
        <v>8</v>
      </c>
    </row>
    <row r="37" spans="1:10">
      <c r="A37" s="46" t="s">
        <v>8</v>
      </c>
      <c r="B37" s="448" t="s">
        <v>8</v>
      </c>
      <c r="C37" s="450" t="s">
        <v>8</v>
      </c>
      <c r="D37" s="450" t="s">
        <v>8</v>
      </c>
      <c r="E37" s="454" t="s">
        <v>8</v>
      </c>
      <c r="F37" s="450" t="s">
        <v>8</v>
      </c>
      <c r="G37" s="456" t="s">
        <v>8</v>
      </c>
      <c r="H37" s="442" t="s">
        <v>8</v>
      </c>
      <c r="I37" s="46" t="s">
        <v>8</v>
      </c>
      <c r="J37" s="46" t="s">
        <v>8</v>
      </c>
    </row>
    <row r="38" spans="1:10" ht="15.75" thickBot="1">
      <c r="A38" s="46" t="s">
        <v>8</v>
      </c>
      <c r="B38" s="449" t="s">
        <v>8</v>
      </c>
      <c r="C38" s="451" t="s">
        <v>8</v>
      </c>
      <c r="D38" s="453" t="s">
        <v>51</v>
      </c>
      <c r="E38" s="455">
        <f>SUM($E$36:$E$37)</f>
        <v>0</v>
      </c>
      <c r="F38" s="451" t="s">
        <v>8</v>
      </c>
      <c r="G38" s="457" t="s">
        <v>8</v>
      </c>
      <c r="H38" s="437" t="s">
        <v>8</v>
      </c>
      <c r="I38" s="46" t="s">
        <v>8</v>
      </c>
      <c r="J38" s="46" t="s">
        <v>8</v>
      </c>
    </row>
    <row r="39" spans="1:10" ht="16.5" thickTop="1" thickBot="1">
      <c r="A39" s="46" t="s">
        <v>8</v>
      </c>
      <c r="B39" s="439" t="s">
        <v>8</v>
      </c>
      <c r="C39" s="46" t="s">
        <v>8</v>
      </c>
      <c r="D39" s="46" t="s">
        <v>8</v>
      </c>
      <c r="E39" s="47" t="s">
        <v>8</v>
      </c>
      <c r="F39" s="46" t="s">
        <v>8</v>
      </c>
      <c r="G39" s="438" t="s">
        <v>8</v>
      </c>
      <c r="H39" s="46" t="s">
        <v>8</v>
      </c>
      <c r="I39" s="46" t="s">
        <v>8</v>
      </c>
      <c r="J39" s="46" t="s">
        <v>8</v>
      </c>
    </row>
    <row r="40" spans="1:10" ht="15.75" thickTop="1">
      <c r="A40" s="46" t="s">
        <v>8</v>
      </c>
      <c r="B40" s="458" t="s">
        <v>8</v>
      </c>
      <c r="C40" s="433" t="s">
        <v>8</v>
      </c>
      <c r="D40" s="433" t="s">
        <v>8</v>
      </c>
      <c r="E40" s="459" t="s">
        <v>8</v>
      </c>
      <c r="F40" s="433" t="s">
        <v>8</v>
      </c>
      <c r="G40" s="460" t="s">
        <v>8</v>
      </c>
      <c r="H40" s="434" t="s">
        <v>8</v>
      </c>
      <c r="I40" s="46" t="s">
        <v>8</v>
      </c>
      <c r="J40" s="46" t="s">
        <v>8</v>
      </c>
    </row>
    <row r="41" spans="1:10">
      <c r="A41" s="46" t="s">
        <v>8</v>
      </c>
      <c r="B41" s="441" t="s">
        <v>8</v>
      </c>
      <c r="C41" s="1982" t="s">
        <v>8</v>
      </c>
      <c r="D41" s="1984" t="s">
        <v>114</v>
      </c>
      <c r="E41" s="1983">
        <f>ABS(E13+$E$20-$E$38+$E$26-$E$32)</f>
        <v>46082773</v>
      </c>
      <c r="F41" s="1982" t="s">
        <v>8</v>
      </c>
      <c r="G41" s="1986" t="s">
        <v>8</v>
      </c>
      <c r="H41" s="442" t="s">
        <v>8</v>
      </c>
      <c r="I41" s="46" t="s">
        <v>8</v>
      </c>
      <c r="J41" s="46" t="s">
        <v>8</v>
      </c>
    </row>
    <row r="42" spans="1:10">
      <c r="A42" s="46" t="s">
        <v>8</v>
      </c>
      <c r="B42" s="441" t="s">
        <v>8</v>
      </c>
      <c r="C42" s="1982" t="s">
        <v>8</v>
      </c>
      <c r="D42" s="1984" t="s">
        <v>115</v>
      </c>
      <c r="E42" s="1983">
        <v>46082773</v>
      </c>
      <c r="F42" s="1982" t="s">
        <v>8</v>
      </c>
      <c r="G42" s="1986" t="s">
        <v>8</v>
      </c>
      <c r="H42" s="442" t="s">
        <v>8</v>
      </c>
      <c r="I42" s="46" t="s">
        <v>116</v>
      </c>
      <c r="J42" s="46" t="s">
        <v>8</v>
      </c>
    </row>
    <row r="43" spans="1:10" ht="15.75" thickBot="1">
      <c r="A43" s="46" t="s">
        <v>8</v>
      </c>
      <c r="B43" s="443" t="s">
        <v>8</v>
      </c>
      <c r="C43" s="436" t="s">
        <v>8</v>
      </c>
      <c r="D43" s="444" t="s">
        <v>117</v>
      </c>
      <c r="E43" s="445">
        <f>$E$42-$E$41</f>
        <v>0</v>
      </c>
      <c r="F43" s="436" t="s">
        <v>8</v>
      </c>
      <c r="G43" s="446" t="s">
        <v>8</v>
      </c>
      <c r="H43" s="437" t="s">
        <v>8</v>
      </c>
      <c r="I43" s="46" t="s">
        <v>8</v>
      </c>
      <c r="J43" s="46" t="s">
        <v>8</v>
      </c>
    </row>
    <row r="44" spans="1:10" ht="16.5" thickTop="1" thickBot="1">
      <c r="A44" s="46" t="s">
        <v>8</v>
      </c>
      <c r="B44" s="439" t="s">
        <v>8</v>
      </c>
      <c r="C44" s="46" t="s">
        <v>8</v>
      </c>
      <c r="D44" s="46" t="s">
        <v>8</v>
      </c>
      <c r="E44" s="47" t="s">
        <v>8</v>
      </c>
      <c r="F44" s="46" t="s">
        <v>8</v>
      </c>
      <c r="G44" s="438" t="s">
        <v>8</v>
      </c>
      <c r="H44" s="46" t="s">
        <v>8</v>
      </c>
      <c r="I44" s="46" t="s">
        <v>8</v>
      </c>
      <c r="J44" s="46" t="s">
        <v>8</v>
      </c>
    </row>
    <row r="45" spans="1:10" ht="15.75" thickTop="1">
      <c r="A45" s="46" t="s">
        <v>8</v>
      </c>
      <c r="B45" s="458" t="s">
        <v>8</v>
      </c>
      <c r="C45" s="433" t="s">
        <v>8</v>
      </c>
      <c r="D45" s="440" t="s">
        <v>118</v>
      </c>
      <c r="E45" s="464" t="s">
        <v>119</v>
      </c>
      <c r="F45" s="440" t="s">
        <v>120</v>
      </c>
      <c r="G45" s="460">
        <v>45981</v>
      </c>
      <c r="H45" s="434" t="s">
        <v>8</v>
      </c>
      <c r="I45" s="46" t="s">
        <v>8</v>
      </c>
      <c r="J45" s="46" t="s">
        <v>8</v>
      </c>
    </row>
    <row r="46" spans="1:10">
      <c r="A46" s="46" t="s">
        <v>8</v>
      </c>
      <c r="B46" s="441" t="s">
        <v>8</v>
      </c>
      <c r="C46" s="1982" t="s">
        <v>8</v>
      </c>
      <c r="D46" s="1982" t="s">
        <v>8</v>
      </c>
      <c r="E46" s="1985" t="s">
        <v>8</v>
      </c>
      <c r="F46" s="1982" t="s">
        <v>8</v>
      </c>
      <c r="G46" s="1986" t="s">
        <v>8</v>
      </c>
      <c r="H46" s="442" t="s">
        <v>8</v>
      </c>
      <c r="I46" s="46" t="s">
        <v>8</v>
      </c>
      <c r="J46" s="46" t="s">
        <v>8</v>
      </c>
    </row>
    <row r="47" spans="1:10">
      <c r="A47" s="46" t="s">
        <v>8</v>
      </c>
      <c r="B47" s="441" t="s">
        <v>8</v>
      </c>
      <c r="C47" s="1982" t="s">
        <v>8</v>
      </c>
      <c r="D47" s="1982" t="s">
        <v>8</v>
      </c>
      <c r="E47" s="1985" t="s">
        <v>8</v>
      </c>
      <c r="F47" s="1982" t="s">
        <v>8</v>
      </c>
      <c r="G47" s="1986" t="s">
        <v>8</v>
      </c>
      <c r="H47" s="442" t="s">
        <v>8</v>
      </c>
      <c r="I47" s="46" t="s">
        <v>8</v>
      </c>
      <c r="J47" s="46" t="s">
        <v>8</v>
      </c>
    </row>
    <row r="48" spans="1:10">
      <c r="A48" s="46" t="s">
        <v>8</v>
      </c>
      <c r="B48" s="441" t="s">
        <v>8</v>
      </c>
      <c r="C48" s="1982" t="s">
        <v>8</v>
      </c>
      <c r="D48" s="1984" t="s">
        <v>121</v>
      </c>
      <c r="E48" s="1983" t="s">
        <v>8</v>
      </c>
      <c r="F48" s="1984" t="s">
        <v>120</v>
      </c>
      <c r="G48" s="1986" t="s">
        <v>8</v>
      </c>
      <c r="H48" s="442" t="s">
        <v>8</v>
      </c>
      <c r="I48" s="46" t="s">
        <v>8</v>
      </c>
      <c r="J48" s="46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30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12</v>
      </c>
      <c r="J1" s="51" t="s">
        <v>13</v>
      </c>
    </row>
    <row r="2" spans="1:10">
      <c r="A2" s="49" t="s">
        <v>8</v>
      </c>
      <c r="B2" s="49" t="s">
        <v>8</v>
      </c>
      <c r="C2" s="49" t="s">
        <v>8</v>
      </c>
      <c r="D2" s="49" t="s">
        <v>8</v>
      </c>
      <c r="E2" s="49" t="s">
        <v>8</v>
      </c>
      <c r="F2" s="49" t="s">
        <v>8</v>
      </c>
      <c r="G2" s="49" t="s">
        <v>8</v>
      </c>
      <c r="H2" s="49" t="s">
        <v>8</v>
      </c>
      <c r="I2" s="49" t="s">
        <v>8</v>
      </c>
      <c r="J2" s="49" t="s">
        <v>8</v>
      </c>
    </row>
    <row r="3" spans="1:10" ht="15.75" thickBot="1">
      <c r="A3" s="49" t="s">
        <v>8</v>
      </c>
      <c r="B3" s="49" t="s">
        <v>8</v>
      </c>
      <c r="C3" s="49" t="s">
        <v>8</v>
      </c>
      <c r="D3" s="49" t="s">
        <v>8</v>
      </c>
      <c r="E3" s="49" t="s">
        <v>8</v>
      </c>
      <c r="F3" s="49" t="s">
        <v>8</v>
      </c>
      <c r="G3" s="49" t="s">
        <v>8</v>
      </c>
      <c r="H3" s="49" t="s">
        <v>8</v>
      </c>
      <c r="I3" s="49" t="s">
        <v>8</v>
      </c>
      <c r="J3" s="49" t="s">
        <v>8</v>
      </c>
    </row>
    <row r="4" spans="1:10" ht="16.5" thickTop="1" thickBot="1">
      <c r="A4" s="49" t="s">
        <v>8</v>
      </c>
      <c r="B4" s="49" t="s">
        <v>14</v>
      </c>
      <c r="C4" s="49" t="s">
        <v>8</v>
      </c>
      <c r="D4" s="466" t="s">
        <v>15</v>
      </c>
      <c r="E4" s="49" t="s">
        <v>16</v>
      </c>
      <c r="F4" s="466" t="s">
        <v>166</v>
      </c>
      <c r="G4" s="49" t="s">
        <v>8</v>
      </c>
      <c r="H4" s="49" t="s">
        <v>8</v>
      </c>
      <c r="I4" s="49" t="s">
        <v>8</v>
      </c>
      <c r="J4" s="49" t="s">
        <v>8</v>
      </c>
    </row>
    <row r="5" spans="1:10" ht="16.5" thickTop="1" thickBot="1">
      <c r="A5" s="49" t="s">
        <v>8</v>
      </c>
      <c r="B5" s="49" t="s">
        <v>8</v>
      </c>
      <c r="C5" s="49" t="s">
        <v>8</v>
      </c>
      <c r="D5" s="49" t="s">
        <v>8</v>
      </c>
      <c r="E5" s="49" t="s">
        <v>8</v>
      </c>
      <c r="F5" s="49" t="s">
        <v>8</v>
      </c>
      <c r="G5" s="49" t="s">
        <v>8</v>
      </c>
      <c r="H5" s="49" t="s">
        <v>8</v>
      </c>
      <c r="I5" s="49" t="s">
        <v>8</v>
      </c>
      <c r="J5" s="49" t="s">
        <v>8</v>
      </c>
    </row>
    <row r="6" spans="1:10" ht="16.5" thickTop="1" thickBot="1">
      <c r="A6" s="49" t="s">
        <v>8</v>
      </c>
      <c r="B6" s="49" t="s">
        <v>18</v>
      </c>
      <c r="C6" s="49" t="s">
        <v>8</v>
      </c>
      <c r="D6" s="466" t="s">
        <v>19</v>
      </c>
      <c r="E6" s="49" t="s">
        <v>20</v>
      </c>
      <c r="F6" s="466" t="s">
        <v>167</v>
      </c>
      <c r="G6" s="49" t="s">
        <v>8</v>
      </c>
      <c r="H6" s="49" t="s">
        <v>8</v>
      </c>
      <c r="I6" s="49" t="s">
        <v>8</v>
      </c>
      <c r="J6" s="49" t="s">
        <v>8</v>
      </c>
    </row>
    <row r="7" spans="1:10" ht="16.5" thickTop="1" thickBot="1">
      <c r="A7" s="49" t="s">
        <v>8</v>
      </c>
      <c r="B7" s="49" t="s">
        <v>8</v>
      </c>
      <c r="C7" s="49" t="s">
        <v>8</v>
      </c>
      <c r="D7" s="49" t="s">
        <v>8</v>
      </c>
      <c r="E7" s="49" t="s">
        <v>8</v>
      </c>
      <c r="F7" s="49" t="s">
        <v>8</v>
      </c>
      <c r="G7" s="49" t="s">
        <v>8</v>
      </c>
      <c r="H7" s="49" t="s">
        <v>8</v>
      </c>
      <c r="I7" s="49" t="s">
        <v>8</v>
      </c>
      <c r="J7" s="49" t="s">
        <v>8</v>
      </c>
    </row>
    <row r="8" spans="1:10" ht="16.5" thickTop="1" thickBot="1">
      <c r="A8" s="49" t="s">
        <v>8</v>
      </c>
      <c r="B8" s="49" t="s">
        <v>22</v>
      </c>
      <c r="C8" s="49" t="s">
        <v>8</v>
      </c>
      <c r="D8" s="466" t="s">
        <v>11</v>
      </c>
      <c r="E8" s="49" t="s">
        <v>23</v>
      </c>
      <c r="F8" s="466" t="s">
        <v>168</v>
      </c>
      <c r="G8" s="49" t="s">
        <v>8</v>
      </c>
      <c r="H8" s="49" t="s">
        <v>8</v>
      </c>
      <c r="I8" s="49" t="s">
        <v>8</v>
      </c>
      <c r="J8" s="49" t="s">
        <v>8</v>
      </c>
    </row>
    <row r="9" spans="1:10" ht="16.5" thickTop="1" thickBot="1">
      <c r="A9" s="49" t="s">
        <v>8</v>
      </c>
      <c r="B9" s="49" t="s">
        <v>8</v>
      </c>
      <c r="C9" s="49" t="s">
        <v>8</v>
      </c>
      <c r="D9" s="49" t="s">
        <v>8</v>
      </c>
      <c r="E9" s="49" t="s">
        <v>8</v>
      </c>
      <c r="F9" s="49" t="s">
        <v>8</v>
      </c>
      <c r="G9" s="49" t="s">
        <v>8</v>
      </c>
      <c r="H9" s="49" t="s">
        <v>8</v>
      </c>
      <c r="I9" s="49" t="s">
        <v>8</v>
      </c>
      <c r="J9" s="49" t="s">
        <v>8</v>
      </c>
    </row>
    <row r="10" spans="1:10" ht="16.5" thickTop="1" thickBot="1">
      <c r="A10" s="49" t="s">
        <v>8</v>
      </c>
      <c r="B10" s="49" t="s">
        <v>25</v>
      </c>
      <c r="C10" s="49" t="s">
        <v>8</v>
      </c>
      <c r="D10" s="466" t="s">
        <v>26</v>
      </c>
      <c r="E10" s="49" t="s">
        <v>8</v>
      </c>
      <c r="F10" s="49" t="s">
        <v>8</v>
      </c>
      <c r="G10" s="49" t="s">
        <v>8</v>
      </c>
      <c r="H10" s="49" t="s">
        <v>8</v>
      </c>
      <c r="I10" s="49" t="s">
        <v>8</v>
      </c>
      <c r="J10" s="49" t="s">
        <v>8</v>
      </c>
    </row>
    <row r="11" spans="1:10" ht="16.5" thickTop="1" thickBot="1">
      <c r="A11" s="49" t="s">
        <v>8</v>
      </c>
      <c r="B11" s="49" t="s">
        <v>8</v>
      </c>
      <c r="C11" s="49" t="s">
        <v>8</v>
      </c>
      <c r="D11" s="49" t="s">
        <v>8</v>
      </c>
      <c r="E11" s="49" t="s">
        <v>8</v>
      </c>
      <c r="F11" s="49" t="s">
        <v>8</v>
      </c>
      <c r="G11" s="49" t="s">
        <v>8</v>
      </c>
      <c r="H11" s="49" t="s">
        <v>8</v>
      </c>
      <c r="I11" s="49" t="s">
        <v>8</v>
      </c>
      <c r="J11" s="49" t="s">
        <v>8</v>
      </c>
    </row>
    <row r="12" spans="1:10" ht="16.5" thickTop="1" thickBot="1">
      <c r="A12" s="49" t="s">
        <v>8</v>
      </c>
      <c r="B12" s="467" t="s">
        <v>8</v>
      </c>
      <c r="C12" s="468" t="s">
        <v>8</v>
      </c>
      <c r="D12" s="468" t="s">
        <v>8</v>
      </c>
      <c r="E12" s="468" t="s">
        <v>8</v>
      </c>
      <c r="F12" s="468" t="s">
        <v>8</v>
      </c>
      <c r="G12" s="468" t="s">
        <v>8</v>
      </c>
      <c r="H12" s="469" t="s">
        <v>8</v>
      </c>
      <c r="I12" s="49" t="s">
        <v>8</v>
      </c>
      <c r="J12" s="49" t="s">
        <v>8</v>
      </c>
    </row>
    <row r="13" spans="1:10" ht="16.5" thickTop="1" thickBot="1">
      <c r="A13" s="49" t="s">
        <v>8</v>
      </c>
      <c r="B13" s="470" t="s">
        <v>8</v>
      </c>
      <c r="C13" s="465" t="s">
        <v>156</v>
      </c>
      <c r="D13" s="471" t="s">
        <v>28</v>
      </c>
      <c r="E13" s="480">
        <v>30000</v>
      </c>
      <c r="F13" s="471" t="s">
        <v>8</v>
      </c>
      <c r="G13" s="471" t="s">
        <v>8</v>
      </c>
      <c r="H13" s="472" t="s">
        <v>8</v>
      </c>
      <c r="I13" s="49" t="s">
        <v>29</v>
      </c>
      <c r="J13" s="49" t="s">
        <v>8</v>
      </c>
    </row>
    <row r="14" spans="1:10" ht="16.5" thickTop="1" thickBot="1">
      <c r="A14" s="49" t="s">
        <v>8</v>
      </c>
      <c r="B14" s="49" t="s">
        <v>8</v>
      </c>
      <c r="C14" s="49" t="s">
        <v>8</v>
      </c>
      <c r="D14" s="49" t="s">
        <v>8</v>
      </c>
      <c r="E14" s="49" t="s">
        <v>8</v>
      </c>
      <c r="F14" s="49" t="s">
        <v>8</v>
      </c>
      <c r="G14" s="49" t="s">
        <v>8</v>
      </c>
      <c r="H14" s="49" t="s">
        <v>8</v>
      </c>
      <c r="I14" s="49" t="s">
        <v>8</v>
      </c>
      <c r="J14" s="49" t="s">
        <v>8</v>
      </c>
    </row>
    <row r="15" spans="1:10" ht="16.5" thickTop="1" thickBot="1">
      <c r="A15" s="49" t="s">
        <v>8</v>
      </c>
      <c r="B15" s="466" t="s">
        <v>30</v>
      </c>
      <c r="C15" s="465" t="s">
        <v>31</v>
      </c>
      <c r="D15" s="465" t="s">
        <v>32</v>
      </c>
      <c r="E15" s="465" t="s">
        <v>33</v>
      </c>
      <c r="F15" s="465" t="s">
        <v>34</v>
      </c>
      <c r="G15" s="465" t="s">
        <v>35</v>
      </c>
      <c r="H15" s="465" t="s">
        <v>36</v>
      </c>
      <c r="I15" s="49" t="s">
        <v>8</v>
      </c>
      <c r="J15" s="49" t="s">
        <v>8</v>
      </c>
    </row>
    <row r="16" spans="1:10" ht="16.5" thickTop="1" thickBot="1">
      <c r="A16" s="49" t="s">
        <v>8</v>
      </c>
      <c r="B16" s="49" t="s">
        <v>8</v>
      </c>
      <c r="C16" s="49" t="s">
        <v>8</v>
      </c>
      <c r="D16" s="49" t="s">
        <v>8</v>
      </c>
      <c r="E16" s="49" t="s">
        <v>8</v>
      </c>
      <c r="F16" s="49" t="s">
        <v>8</v>
      </c>
      <c r="G16" s="49" t="s">
        <v>8</v>
      </c>
      <c r="H16" s="49" t="s">
        <v>8</v>
      </c>
      <c r="I16" s="49" t="s">
        <v>8</v>
      </c>
      <c r="J16" s="49" t="s">
        <v>8</v>
      </c>
    </row>
    <row r="17" spans="1:10" ht="15.75" thickTop="1">
      <c r="A17" s="49" t="s">
        <v>8</v>
      </c>
      <c r="B17" s="482" t="s">
        <v>8</v>
      </c>
      <c r="C17" s="482" t="s">
        <v>8</v>
      </c>
      <c r="D17" s="487" t="s">
        <v>37</v>
      </c>
      <c r="E17" s="482" t="s">
        <v>8</v>
      </c>
      <c r="F17" s="482" t="s">
        <v>8</v>
      </c>
      <c r="G17" s="482" t="s">
        <v>8</v>
      </c>
      <c r="H17" s="469" t="s">
        <v>8</v>
      </c>
      <c r="I17" s="49" t="s">
        <v>8</v>
      </c>
      <c r="J17" s="49" t="s">
        <v>8</v>
      </c>
    </row>
    <row r="18" spans="1:10">
      <c r="A18" s="49" t="s">
        <v>8</v>
      </c>
      <c r="B18" s="483" t="s">
        <v>8</v>
      </c>
      <c r="C18" s="485" t="s">
        <v>8</v>
      </c>
      <c r="D18" s="485" t="s">
        <v>8</v>
      </c>
      <c r="E18" s="489" t="s">
        <v>8</v>
      </c>
      <c r="F18" s="485" t="s">
        <v>8</v>
      </c>
      <c r="G18" s="491" t="s">
        <v>8</v>
      </c>
      <c r="H18" s="477" t="s">
        <v>8</v>
      </c>
      <c r="I18" s="49" t="s">
        <v>8</v>
      </c>
      <c r="J18" s="49" t="s">
        <v>8</v>
      </c>
    </row>
    <row r="19" spans="1:10">
      <c r="A19" s="49" t="s">
        <v>8</v>
      </c>
      <c r="B19" s="483" t="s">
        <v>8</v>
      </c>
      <c r="C19" s="485" t="s">
        <v>8</v>
      </c>
      <c r="D19" s="485" t="s">
        <v>8</v>
      </c>
      <c r="E19" s="489" t="s">
        <v>8</v>
      </c>
      <c r="F19" s="485" t="s">
        <v>8</v>
      </c>
      <c r="G19" s="491" t="s">
        <v>8</v>
      </c>
      <c r="H19" s="477" t="s">
        <v>8</v>
      </c>
      <c r="I19" s="49" t="s">
        <v>8</v>
      </c>
      <c r="J19" s="49" t="s">
        <v>8</v>
      </c>
    </row>
    <row r="20" spans="1:10" ht="15.75" thickBot="1">
      <c r="A20" s="49" t="s">
        <v>8</v>
      </c>
      <c r="B20" s="484" t="s">
        <v>8</v>
      </c>
      <c r="C20" s="486" t="s">
        <v>8</v>
      </c>
      <c r="D20" s="488" t="s">
        <v>51</v>
      </c>
      <c r="E20" s="490">
        <f>SUM($E$18:$E$19)</f>
        <v>0</v>
      </c>
      <c r="F20" s="486" t="s">
        <v>8</v>
      </c>
      <c r="G20" s="492" t="s">
        <v>8</v>
      </c>
      <c r="H20" s="472" t="s">
        <v>8</v>
      </c>
      <c r="I20" s="49" t="s">
        <v>8</v>
      </c>
      <c r="J20" s="49" t="s">
        <v>8</v>
      </c>
    </row>
    <row r="21" spans="1:10" ht="15.75" thickTop="1">
      <c r="A21" s="49" t="s">
        <v>8</v>
      </c>
      <c r="B21" s="474" t="s">
        <v>8</v>
      </c>
      <c r="C21" s="49" t="s">
        <v>8</v>
      </c>
      <c r="D21" s="49" t="s">
        <v>8</v>
      </c>
      <c r="E21" s="50" t="s">
        <v>8</v>
      </c>
      <c r="F21" s="49" t="s">
        <v>8</v>
      </c>
      <c r="G21" s="473" t="s">
        <v>8</v>
      </c>
      <c r="H21" s="49" t="s">
        <v>8</v>
      </c>
      <c r="I21" s="49" t="s">
        <v>8</v>
      </c>
      <c r="J21" s="49" t="s">
        <v>8</v>
      </c>
    </row>
    <row r="22" spans="1:10" ht="15.75" thickBot="1">
      <c r="A22" s="49" t="s">
        <v>8</v>
      </c>
      <c r="B22" s="474" t="s">
        <v>8</v>
      </c>
      <c r="C22" s="49" t="s">
        <v>8</v>
      </c>
      <c r="D22" s="49" t="s">
        <v>8</v>
      </c>
      <c r="E22" s="50" t="s">
        <v>8</v>
      </c>
      <c r="F22" s="49" t="s">
        <v>8</v>
      </c>
      <c r="G22" s="473" t="s">
        <v>8</v>
      </c>
      <c r="H22" s="49" t="s">
        <v>8</v>
      </c>
      <c r="I22" s="49" t="s">
        <v>8</v>
      </c>
      <c r="J22" s="49" t="s">
        <v>8</v>
      </c>
    </row>
    <row r="23" spans="1:10" ht="15.75" thickTop="1">
      <c r="A23" s="49" t="s">
        <v>8</v>
      </c>
      <c r="B23" s="496" t="s">
        <v>8</v>
      </c>
      <c r="C23" s="482" t="s">
        <v>8</v>
      </c>
      <c r="D23" s="487" t="s">
        <v>52</v>
      </c>
      <c r="E23" s="497" t="s">
        <v>8</v>
      </c>
      <c r="F23" s="482" t="s">
        <v>8</v>
      </c>
      <c r="G23" s="498" t="s">
        <v>8</v>
      </c>
      <c r="H23" s="469" t="s">
        <v>8</v>
      </c>
      <c r="I23" s="49" t="s">
        <v>8</v>
      </c>
      <c r="J23" s="49" t="s">
        <v>8</v>
      </c>
    </row>
    <row r="24" spans="1:10">
      <c r="A24" s="49" t="s">
        <v>8</v>
      </c>
      <c r="B24" s="483" t="s">
        <v>8</v>
      </c>
      <c r="C24" s="485" t="s">
        <v>8</v>
      </c>
      <c r="D24" s="485" t="s">
        <v>8</v>
      </c>
      <c r="E24" s="489" t="s">
        <v>8</v>
      </c>
      <c r="F24" s="485" t="s">
        <v>8</v>
      </c>
      <c r="G24" s="491" t="s">
        <v>8</v>
      </c>
      <c r="H24" s="477" t="s">
        <v>8</v>
      </c>
      <c r="I24" s="49" t="s">
        <v>8</v>
      </c>
      <c r="J24" s="49" t="s">
        <v>8</v>
      </c>
    </row>
    <row r="25" spans="1:10">
      <c r="A25" s="49" t="s">
        <v>8</v>
      </c>
      <c r="B25" s="483" t="s">
        <v>8</v>
      </c>
      <c r="C25" s="485" t="s">
        <v>8</v>
      </c>
      <c r="D25" s="485" t="s">
        <v>8</v>
      </c>
      <c r="E25" s="489" t="s">
        <v>8</v>
      </c>
      <c r="F25" s="485" t="s">
        <v>8</v>
      </c>
      <c r="G25" s="491" t="s">
        <v>8</v>
      </c>
      <c r="H25" s="477" t="s">
        <v>8</v>
      </c>
      <c r="I25" s="49" t="s">
        <v>8</v>
      </c>
      <c r="J25" s="49" t="s">
        <v>8</v>
      </c>
    </row>
    <row r="26" spans="1:10" ht="15.75" thickBot="1">
      <c r="A26" s="49" t="s">
        <v>8</v>
      </c>
      <c r="B26" s="484" t="s">
        <v>8</v>
      </c>
      <c r="C26" s="486" t="s">
        <v>8</v>
      </c>
      <c r="D26" s="488" t="s">
        <v>51</v>
      </c>
      <c r="E26" s="490">
        <f>SUM($E$24:$E$25)</f>
        <v>0</v>
      </c>
      <c r="F26" s="486" t="s">
        <v>8</v>
      </c>
      <c r="G26" s="492" t="s">
        <v>8</v>
      </c>
      <c r="H26" s="472" t="s">
        <v>8</v>
      </c>
      <c r="I26" s="49" t="s">
        <v>8</v>
      </c>
      <c r="J26" s="49" t="s">
        <v>8</v>
      </c>
    </row>
    <row r="27" spans="1:10" ht="15.75" thickTop="1">
      <c r="A27" s="49" t="s">
        <v>8</v>
      </c>
      <c r="B27" s="474" t="s">
        <v>8</v>
      </c>
      <c r="C27" s="49" t="s">
        <v>8</v>
      </c>
      <c r="D27" s="49" t="s">
        <v>8</v>
      </c>
      <c r="E27" s="50" t="s">
        <v>8</v>
      </c>
      <c r="F27" s="49" t="s">
        <v>8</v>
      </c>
      <c r="G27" s="473" t="s">
        <v>8</v>
      </c>
      <c r="H27" s="49" t="s">
        <v>8</v>
      </c>
      <c r="I27" s="49" t="s">
        <v>8</v>
      </c>
      <c r="J27" s="49" t="s">
        <v>8</v>
      </c>
    </row>
    <row r="28" spans="1:10" ht="15.75" thickBot="1">
      <c r="A28" s="49" t="s">
        <v>8</v>
      </c>
      <c r="B28" s="474" t="s">
        <v>8</v>
      </c>
      <c r="C28" s="49" t="s">
        <v>8</v>
      </c>
      <c r="D28" s="49" t="s">
        <v>8</v>
      </c>
      <c r="E28" s="50" t="s">
        <v>8</v>
      </c>
      <c r="F28" s="49" t="s">
        <v>8</v>
      </c>
      <c r="G28" s="473" t="s">
        <v>8</v>
      </c>
      <c r="H28" s="49" t="s">
        <v>8</v>
      </c>
      <c r="I28" s="49" t="s">
        <v>8</v>
      </c>
      <c r="J28" s="49" t="s">
        <v>8</v>
      </c>
    </row>
    <row r="29" spans="1:10" ht="15.75" thickTop="1">
      <c r="A29" s="49" t="s">
        <v>8</v>
      </c>
      <c r="B29" s="496" t="s">
        <v>8</v>
      </c>
      <c r="C29" s="482" t="s">
        <v>8</v>
      </c>
      <c r="D29" s="487" t="s">
        <v>85</v>
      </c>
      <c r="E29" s="497" t="s">
        <v>8</v>
      </c>
      <c r="F29" s="482" t="s">
        <v>8</v>
      </c>
      <c r="G29" s="498" t="s">
        <v>8</v>
      </c>
      <c r="H29" s="469" t="s">
        <v>8</v>
      </c>
      <c r="I29" s="49" t="s">
        <v>8</v>
      </c>
      <c r="J29" s="49" t="s">
        <v>8</v>
      </c>
    </row>
    <row r="30" spans="1:10">
      <c r="A30" s="49" t="s">
        <v>8</v>
      </c>
      <c r="B30" s="483" t="s">
        <v>8</v>
      </c>
      <c r="C30" s="485" t="s">
        <v>8</v>
      </c>
      <c r="D30" s="485" t="s">
        <v>8</v>
      </c>
      <c r="E30" s="489" t="s">
        <v>8</v>
      </c>
      <c r="F30" s="485" t="s">
        <v>8</v>
      </c>
      <c r="G30" s="491" t="s">
        <v>8</v>
      </c>
      <c r="H30" s="477" t="s">
        <v>8</v>
      </c>
      <c r="I30" s="49" t="s">
        <v>8</v>
      </c>
      <c r="J30" s="49" t="s">
        <v>8</v>
      </c>
    </row>
    <row r="31" spans="1:10">
      <c r="A31" s="49" t="s">
        <v>8</v>
      </c>
      <c r="B31" s="483" t="s">
        <v>8</v>
      </c>
      <c r="C31" s="485" t="s">
        <v>8</v>
      </c>
      <c r="D31" s="485" t="s">
        <v>8</v>
      </c>
      <c r="E31" s="489" t="s">
        <v>8</v>
      </c>
      <c r="F31" s="485" t="s">
        <v>8</v>
      </c>
      <c r="G31" s="491" t="s">
        <v>8</v>
      </c>
      <c r="H31" s="477" t="s">
        <v>8</v>
      </c>
      <c r="I31" s="49" t="s">
        <v>8</v>
      </c>
      <c r="J31" s="49" t="s">
        <v>8</v>
      </c>
    </row>
    <row r="32" spans="1:10" ht="15.75" thickBot="1">
      <c r="A32" s="49" t="s">
        <v>8</v>
      </c>
      <c r="B32" s="484" t="s">
        <v>8</v>
      </c>
      <c r="C32" s="486" t="s">
        <v>8</v>
      </c>
      <c r="D32" s="488" t="s">
        <v>51</v>
      </c>
      <c r="E32" s="490">
        <f>SUM($E$30:$E$31)</f>
        <v>0</v>
      </c>
      <c r="F32" s="486" t="s">
        <v>8</v>
      </c>
      <c r="G32" s="492" t="s">
        <v>8</v>
      </c>
      <c r="H32" s="472" t="s">
        <v>8</v>
      </c>
      <c r="I32" s="49" t="s">
        <v>8</v>
      </c>
      <c r="J32" s="49" t="s">
        <v>8</v>
      </c>
    </row>
    <row r="33" spans="1:10" ht="15.75" thickTop="1">
      <c r="A33" s="49" t="s">
        <v>8</v>
      </c>
      <c r="B33" s="474" t="s">
        <v>8</v>
      </c>
      <c r="C33" s="49" t="s">
        <v>8</v>
      </c>
      <c r="D33" s="49" t="s">
        <v>8</v>
      </c>
      <c r="E33" s="50" t="s">
        <v>8</v>
      </c>
      <c r="F33" s="49" t="s">
        <v>8</v>
      </c>
      <c r="G33" s="473" t="s">
        <v>8</v>
      </c>
      <c r="H33" s="49" t="s">
        <v>8</v>
      </c>
      <c r="I33" s="49" t="s">
        <v>8</v>
      </c>
      <c r="J33" s="49" t="s">
        <v>8</v>
      </c>
    </row>
    <row r="34" spans="1:10" ht="15.75" thickBot="1">
      <c r="A34" s="49" t="s">
        <v>8</v>
      </c>
      <c r="B34" s="474" t="s">
        <v>8</v>
      </c>
      <c r="C34" s="49" t="s">
        <v>8</v>
      </c>
      <c r="D34" s="49" t="s">
        <v>8</v>
      </c>
      <c r="E34" s="50" t="s">
        <v>8</v>
      </c>
      <c r="F34" s="49" t="s">
        <v>8</v>
      </c>
      <c r="G34" s="473" t="s">
        <v>8</v>
      </c>
      <c r="H34" s="49" t="s">
        <v>8</v>
      </c>
      <c r="I34" s="49" t="s">
        <v>8</v>
      </c>
      <c r="J34" s="49" t="s">
        <v>8</v>
      </c>
    </row>
    <row r="35" spans="1:10" ht="15.75" thickTop="1">
      <c r="A35" s="49" t="s">
        <v>8</v>
      </c>
      <c r="B35" s="496" t="s">
        <v>8</v>
      </c>
      <c r="C35" s="482" t="s">
        <v>8</v>
      </c>
      <c r="D35" s="487" t="s">
        <v>95</v>
      </c>
      <c r="E35" s="497" t="s">
        <v>8</v>
      </c>
      <c r="F35" s="482" t="s">
        <v>8</v>
      </c>
      <c r="G35" s="498" t="s">
        <v>8</v>
      </c>
      <c r="H35" s="469" t="s">
        <v>8</v>
      </c>
      <c r="I35" s="49" t="s">
        <v>8</v>
      </c>
      <c r="J35" s="49" t="s">
        <v>8</v>
      </c>
    </row>
    <row r="36" spans="1:10">
      <c r="A36" s="49" t="s">
        <v>8</v>
      </c>
      <c r="B36" s="483" t="s">
        <v>8</v>
      </c>
      <c r="C36" s="485" t="s">
        <v>8</v>
      </c>
      <c r="D36" s="485" t="s">
        <v>8</v>
      </c>
      <c r="E36" s="489" t="s">
        <v>8</v>
      </c>
      <c r="F36" s="485" t="s">
        <v>8</v>
      </c>
      <c r="G36" s="491" t="s">
        <v>8</v>
      </c>
      <c r="H36" s="477" t="s">
        <v>8</v>
      </c>
      <c r="I36" s="49" t="s">
        <v>8</v>
      </c>
      <c r="J36" s="49" t="s">
        <v>8</v>
      </c>
    </row>
    <row r="37" spans="1:10">
      <c r="A37" s="49" t="s">
        <v>8</v>
      </c>
      <c r="B37" s="483" t="s">
        <v>8</v>
      </c>
      <c r="C37" s="485" t="s">
        <v>8</v>
      </c>
      <c r="D37" s="485" t="s">
        <v>8</v>
      </c>
      <c r="E37" s="489" t="s">
        <v>8</v>
      </c>
      <c r="F37" s="485" t="s">
        <v>8</v>
      </c>
      <c r="G37" s="491" t="s">
        <v>8</v>
      </c>
      <c r="H37" s="477" t="s">
        <v>8</v>
      </c>
      <c r="I37" s="49" t="s">
        <v>8</v>
      </c>
      <c r="J37" s="49" t="s">
        <v>8</v>
      </c>
    </row>
    <row r="38" spans="1:10" ht="15.75" thickBot="1">
      <c r="A38" s="49" t="s">
        <v>8</v>
      </c>
      <c r="B38" s="484" t="s">
        <v>8</v>
      </c>
      <c r="C38" s="486" t="s">
        <v>8</v>
      </c>
      <c r="D38" s="488" t="s">
        <v>51</v>
      </c>
      <c r="E38" s="490">
        <f>SUM($E$36:$E$37)</f>
        <v>0</v>
      </c>
      <c r="F38" s="486" t="s">
        <v>8</v>
      </c>
      <c r="G38" s="492" t="s">
        <v>8</v>
      </c>
      <c r="H38" s="472" t="s">
        <v>8</v>
      </c>
      <c r="I38" s="49" t="s">
        <v>8</v>
      </c>
      <c r="J38" s="49" t="s">
        <v>8</v>
      </c>
    </row>
    <row r="39" spans="1:10" ht="16.5" thickTop="1" thickBot="1">
      <c r="A39" s="49" t="s">
        <v>8</v>
      </c>
      <c r="B39" s="474" t="s">
        <v>8</v>
      </c>
      <c r="C39" s="49" t="s">
        <v>8</v>
      </c>
      <c r="D39" s="49" t="s">
        <v>8</v>
      </c>
      <c r="E39" s="50" t="s">
        <v>8</v>
      </c>
      <c r="F39" s="49" t="s">
        <v>8</v>
      </c>
      <c r="G39" s="473" t="s">
        <v>8</v>
      </c>
      <c r="H39" s="49" t="s">
        <v>8</v>
      </c>
      <c r="I39" s="49" t="s">
        <v>8</v>
      </c>
      <c r="J39" s="49" t="s">
        <v>8</v>
      </c>
    </row>
    <row r="40" spans="1:10" ht="15.75" thickTop="1">
      <c r="A40" s="49" t="s">
        <v>8</v>
      </c>
      <c r="B40" s="493" t="s">
        <v>8</v>
      </c>
      <c r="C40" s="468" t="s">
        <v>8</v>
      </c>
      <c r="D40" s="468" t="s">
        <v>8</v>
      </c>
      <c r="E40" s="494" t="s">
        <v>8</v>
      </c>
      <c r="F40" s="468" t="s">
        <v>8</v>
      </c>
      <c r="G40" s="495" t="s">
        <v>8</v>
      </c>
      <c r="H40" s="469" t="s">
        <v>8</v>
      </c>
      <c r="I40" s="49" t="s">
        <v>8</v>
      </c>
      <c r="J40" s="49" t="s">
        <v>8</v>
      </c>
    </row>
    <row r="41" spans="1:10">
      <c r="A41" s="49" t="s">
        <v>8</v>
      </c>
      <c r="B41" s="476" t="s">
        <v>8</v>
      </c>
      <c r="C41" s="1987" t="s">
        <v>8</v>
      </c>
      <c r="D41" s="1989" t="s">
        <v>114</v>
      </c>
      <c r="E41" s="1988">
        <f>ABS(E13+$E$20-$E$38+$E$26-$E$32)</f>
        <v>30000</v>
      </c>
      <c r="F41" s="1987" t="s">
        <v>8</v>
      </c>
      <c r="G41" s="1991" t="s">
        <v>8</v>
      </c>
      <c r="H41" s="477" t="s">
        <v>8</v>
      </c>
      <c r="I41" s="49" t="s">
        <v>8</v>
      </c>
      <c r="J41" s="49" t="s">
        <v>8</v>
      </c>
    </row>
    <row r="42" spans="1:10">
      <c r="A42" s="49" t="s">
        <v>8</v>
      </c>
      <c r="B42" s="476" t="s">
        <v>8</v>
      </c>
      <c r="C42" s="1987" t="s">
        <v>8</v>
      </c>
      <c r="D42" s="1989" t="s">
        <v>115</v>
      </c>
      <c r="E42" s="1988">
        <v>30000</v>
      </c>
      <c r="F42" s="1987" t="s">
        <v>8</v>
      </c>
      <c r="G42" s="1991" t="s">
        <v>8</v>
      </c>
      <c r="H42" s="477" t="s">
        <v>8</v>
      </c>
      <c r="I42" s="49" t="s">
        <v>116</v>
      </c>
      <c r="J42" s="49" t="s">
        <v>8</v>
      </c>
    </row>
    <row r="43" spans="1:10" ht="15.75" thickBot="1">
      <c r="A43" s="49" t="s">
        <v>8</v>
      </c>
      <c r="B43" s="478" t="s">
        <v>8</v>
      </c>
      <c r="C43" s="471" t="s">
        <v>8</v>
      </c>
      <c r="D43" s="479" t="s">
        <v>117</v>
      </c>
      <c r="E43" s="480">
        <f>$E$42-$E$41</f>
        <v>0</v>
      </c>
      <c r="F43" s="471" t="s">
        <v>8</v>
      </c>
      <c r="G43" s="481" t="s">
        <v>8</v>
      </c>
      <c r="H43" s="472" t="s">
        <v>8</v>
      </c>
      <c r="I43" s="49" t="s">
        <v>8</v>
      </c>
      <c r="J43" s="49" t="s">
        <v>8</v>
      </c>
    </row>
    <row r="44" spans="1:10" ht="16.5" thickTop="1" thickBot="1">
      <c r="A44" s="49" t="s">
        <v>8</v>
      </c>
      <c r="B44" s="474" t="s">
        <v>8</v>
      </c>
      <c r="C44" s="49" t="s">
        <v>8</v>
      </c>
      <c r="D44" s="49" t="s">
        <v>8</v>
      </c>
      <c r="E44" s="50" t="s">
        <v>8</v>
      </c>
      <c r="F44" s="49" t="s">
        <v>8</v>
      </c>
      <c r="G44" s="473" t="s">
        <v>8</v>
      </c>
      <c r="H44" s="49" t="s">
        <v>8</v>
      </c>
      <c r="I44" s="49" t="s">
        <v>8</v>
      </c>
      <c r="J44" s="49" t="s">
        <v>8</v>
      </c>
    </row>
    <row r="45" spans="1:10" ht="15.75" thickTop="1">
      <c r="A45" s="49" t="s">
        <v>8</v>
      </c>
      <c r="B45" s="493" t="s">
        <v>8</v>
      </c>
      <c r="C45" s="468" t="s">
        <v>8</v>
      </c>
      <c r="D45" s="475" t="s">
        <v>118</v>
      </c>
      <c r="E45" s="499" t="s">
        <v>119</v>
      </c>
      <c r="F45" s="475" t="s">
        <v>120</v>
      </c>
      <c r="G45" s="495">
        <v>45981</v>
      </c>
      <c r="H45" s="469" t="s">
        <v>8</v>
      </c>
      <c r="I45" s="49" t="s">
        <v>8</v>
      </c>
      <c r="J45" s="49" t="s">
        <v>8</v>
      </c>
    </row>
    <row r="46" spans="1:10">
      <c r="A46" s="49" t="s">
        <v>8</v>
      </c>
      <c r="B46" s="476" t="s">
        <v>8</v>
      </c>
      <c r="C46" s="1987" t="s">
        <v>8</v>
      </c>
      <c r="D46" s="1987" t="s">
        <v>8</v>
      </c>
      <c r="E46" s="1990" t="s">
        <v>8</v>
      </c>
      <c r="F46" s="1987" t="s">
        <v>8</v>
      </c>
      <c r="G46" s="1991" t="s">
        <v>8</v>
      </c>
      <c r="H46" s="477" t="s">
        <v>8</v>
      </c>
      <c r="I46" s="49" t="s">
        <v>8</v>
      </c>
      <c r="J46" s="49" t="s">
        <v>8</v>
      </c>
    </row>
    <row r="47" spans="1:10">
      <c r="A47" s="49" t="s">
        <v>8</v>
      </c>
      <c r="B47" s="476" t="s">
        <v>8</v>
      </c>
      <c r="C47" s="1987" t="s">
        <v>8</v>
      </c>
      <c r="D47" s="1987" t="s">
        <v>8</v>
      </c>
      <c r="E47" s="1990" t="s">
        <v>8</v>
      </c>
      <c r="F47" s="1987" t="s">
        <v>8</v>
      </c>
      <c r="G47" s="1991" t="s">
        <v>8</v>
      </c>
      <c r="H47" s="477" t="s">
        <v>8</v>
      </c>
      <c r="I47" s="49" t="s">
        <v>8</v>
      </c>
      <c r="J47" s="49" t="s">
        <v>8</v>
      </c>
    </row>
    <row r="48" spans="1:10">
      <c r="A48" s="49" t="s">
        <v>8</v>
      </c>
      <c r="B48" s="476" t="s">
        <v>8</v>
      </c>
      <c r="C48" s="1987" t="s">
        <v>8</v>
      </c>
      <c r="D48" s="1989" t="s">
        <v>121</v>
      </c>
      <c r="E48" s="1988" t="s">
        <v>8</v>
      </c>
      <c r="F48" s="1989" t="s">
        <v>120</v>
      </c>
      <c r="G48" s="1991" t="s">
        <v>8</v>
      </c>
      <c r="H48" s="477" t="s">
        <v>8</v>
      </c>
      <c r="I48" s="49" t="s">
        <v>8</v>
      </c>
      <c r="J48" s="49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29.855468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12</v>
      </c>
      <c r="J1" s="54" t="s">
        <v>13</v>
      </c>
    </row>
    <row r="2" spans="1:10">
      <c r="A2" s="52" t="s">
        <v>8</v>
      </c>
      <c r="B2" s="52" t="s">
        <v>8</v>
      </c>
      <c r="C2" s="52" t="s">
        <v>8</v>
      </c>
      <c r="D2" s="52" t="s">
        <v>8</v>
      </c>
      <c r="E2" s="52" t="s">
        <v>8</v>
      </c>
      <c r="F2" s="52" t="s">
        <v>8</v>
      </c>
      <c r="G2" s="52" t="s">
        <v>8</v>
      </c>
      <c r="H2" s="52" t="s">
        <v>8</v>
      </c>
      <c r="I2" s="52" t="s">
        <v>8</v>
      </c>
      <c r="J2" s="52" t="s">
        <v>8</v>
      </c>
    </row>
    <row r="3" spans="1:10" ht="15.75" thickBot="1">
      <c r="A3" s="52" t="s">
        <v>8</v>
      </c>
      <c r="B3" s="52" t="s">
        <v>8</v>
      </c>
      <c r="C3" s="52" t="s">
        <v>8</v>
      </c>
      <c r="D3" s="52" t="s">
        <v>8</v>
      </c>
      <c r="E3" s="52" t="s">
        <v>8</v>
      </c>
      <c r="F3" s="52" t="s">
        <v>8</v>
      </c>
      <c r="G3" s="52" t="s">
        <v>8</v>
      </c>
      <c r="H3" s="52" t="s">
        <v>8</v>
      </c>
      <c r="I3" s="52" t="s">
        <v>8</v>
      </c>
      <c r="J3" s="52" t="s">
        <v>8</v>
      </c>
    </row>
    <row r="4" spans="1:10" ht="16.5" thickTop="1" thickBot="1">
      <c r="A4" s="52" t="s">
        <v>8</v>
      </c>
      <c r="B4" s="52" t="s">
        <v>14</v>
      </c>
      <c r="C4" s="52" t="s">
        <v>8</v>
      </c>
      <c r="D4" s="501" t="s">
        <v>15</v>
      </c>
      <c r="E4" s="52" t="s">
        <v>16</v>
      </c>
      <c r="F4" s="501" t="s">
        <v>166</v>
      </c>
      <c r="G4" s="52" t="s">
        <v>8</v>
      </c>
      <c r="H4" s="52" t="s">
        <v>8</v>
      </c>
      <c r="I4" s="52" t="s">
        <v>8</v>
      </c>
      <c r="J4" s="52" t="s">
        <v>8</v>
      </c>
    </row>
    <row r="5" spans="1:10" ht="16.5" thickTop="1" thickBot="1">
      <c r="A5" s="52" t="s">
        <v>8</v>
      </c>
      <c r="B5" s="52" t="s">
        <v>8</v>
      </c>
      <c r="C5" s="52" t="s">
        <v>8</v>
      </c>
      <c r="D5" s="52" t="s">
        <v>8</v>
      </c>
      <c r="E5" s="52" t="s">
        <v>8</v>
      </c>
      <c r="F5" s="52" t="s">
        <v>8</v>
      </c>
      <c r="G5" s="52" t="s">
        <v>8</v>
      </c>
      <c r="H5" s="52" t="s">
        <v>8</v>
      </c>
      <c r="I5" s="52" t="s">
        <v>8</v>
      </c>
      <c r="J5" s="52" t="s">
        <v>8</v>
      </c>
    </row>
    <row r="6" spans="1:10" ht="16.5" thickTop="1" thickBot="1">
      <c r="A6" s="52" t="s">
        <v>8</v>
      </c>
      <c r="B6" s="52" t="s">
        <v>18</v>
      </c>
      <c r="C6" s="52" t="s">
        <v>8</v>
      </c>
      <c r="D6" s="501" t="s">
        <v>19</v>
      </c>
      <c r="E6" s="52" t="s">
        <v>20</v>
      </c>
      <c r="F6" s="501" t="s">
        <v>169</v>
      </c>
      <c r="G6" s="52" t="s">
        <v>8</v>
      </c>
      <c r="H6" s="52" t="s">
        <v>8</v>
      </c>
      <c r="I6" s="52" t="s">
        <v>8</v>
      </c>
      <c r="J6" s="52" t="s">
        <v>8</v>
      </c>
    </row>
    <row r="7" spans="1:10" ht="16.5" thickTop="1" thickBot="1">
      <c r="A7" s="52" t="s">
        <v>8</v>
      </c>
      <c r="B7" s="52" t="s">
        <v>8</v>
      </c>
      <c r="C7" s="52" t="s">
        <v>8</v>
      </c>
      <c r="D7" s="52" t="s">
        <v>8</v>
      </c>
      <c r="E7" s="52" t="s">
        <v>8</v>
      </c>
      <c r="F7" s="52" t="s">
        <v>8</v>
      </c>
      <c r="G7" s="52" t="s">
        <v>8</v>
      </c>
      <c r="H7" s="52" t="s">
        <v>8</v>
      </c>
      <c r="I7" s="52" t="s">
        <v>8</v>
      </c>
      <c r="J7" s="52" t="s">
        <v>8</v>
      </c>
    </row>
    <row r="8" spans="1:10" ht="16.5" thickTop="1" thickBot="1">
      <c r="A8" s="52" t="s">
        <v>8</v>
      </c>
      <c r="B8" s="52" t="s">
        <v>22</v>
      </c>
      <c r="C8" s="52" t="s">
        <v>8</v>
      </c>
      <c r="D8" s="501" t="s">
        <v>11</v>
      </c>
      <c r="E8" s="52" t="s">
        <v>23</v>
      </c>
      <c r="F8" s="501" t="s">
        <v>168</v>
      </c>
      <c r="G8" s="52" t="s">
        <v>8</v>
      </c>
      <c r="H8" s="52" t="s">
        <v>8</v>
      </c>
      <c r="I8" s="52" t="s">
        <v>8</v>
      </c>
      <c r="J8" s="52" t="s">
        <v>8</v>
      </c>
    </row>
    <row r="9" spans="1:10" ht="16.5" thickTop="1" thickBot="1">
      <c r="A9" s="52" t="s">
        <v>8</v>
      </c>
      <c r="B9" s="52" t="s">
        <v>8</v>
      </c>
      <c r="C9" s="52" t="s">
        <v>8</v>
      </c>
      <c r="D9" s="52" t="s">
        <v>8</v>
      </c>
      <c r="E9" s="52" t="s">
        <v>8</v>
      </c>
      <c r="F9" s="52" t="s">
        <v>8</v>
      </c>
      <c r="G9" s="52" t="s">
        <v>8</v>
      </c>
      <c r="H9" s="52" t="s">
        <v>8</v>
      </c>
      <c r="I9" s="52" t="s">
        <v>8</v>
      </c>
      <c r="J9" s="52" t="s">
        <v>8</v>
      </c>
    </row>
    <row r="10" spans="1:10" ht="16.5" thickTop="1" thickBot="1">
      <c r="A10" s="52" t="s">
        <v>8</v>
      </c>
      <c r="B10" s="52" t="s">
        <v>25</v>
      </c>
      <c r="C10" s="52" t="s">
        <v>8</v>
      </c>
      <c r="D10" s="501" t="s">
        <v>26</v>
      </c>
      <c r="E10" s="52" t="s">
        <v>8</v>
      </c>
      <c r="F10" s="52" t="s">
        <v>8</v>
      </c>
      <c r="G10" s="52" t="s">
        <v>8</v>
      </c>
      <c r="H10" s="52" t="s">
        <v>8</v>
      </c>
      <c r="I10" s="52" t="s">
        <v>8</v>
      </c>
      <c r="J10" s="52" t="s">
        <v>8</v>
      </c>
    </row>
    <row r="11" spans="1:10" ht="16.5" thickTop="1" thickBot="1">
      <c r="A11" s="52" t="s">
        <v>8</v>
      </c>
      <c r="B11" s="52" t="s">
        <v>8</v>
      </c>
      <c r="C11" s="52" t="s">
        <v>8</v>
      </c>
      <c r="D11" s="52" t="s">
        <v>8</v>
      </c>
      <c r="E11" s="52" t="s">
        <v>8</v>
      </c>
      <c r="F11" s="52" t="s">
        <v>8</v>
      </c>
      <c r="G11" s="52" t="s">
        <v>8</v>
      </c>
      <c r="H11" s="52" t="s">
        <v>8</v>
      </c>
      <c r="I11" s="52" t="s">
        <v>8</v>
      </c>
      <c r="J11" s="52" t="s">
        <v>8</v>
      </c>
    </row>
    <row r="12" spans="1:10" ht="16.5" thickTop="1" thickBot="1">
      <c r="A12" s="52" t="s">
        <v>8</v>
      </c>
      <c r="B12" s="502" t="s">
        <v>8</v>
      </c>
      <c r="C12" s="503" t="s">
        <v>8</v>
      </c>
      <c r="D12" s="503" t="s">
        <v>8</v>
      </c>
      <c r="E12" s="503" t="s">
        <v>8</v>
      </c>
      <c r="F12" s="503" t="s">
        <v>8</v>
      </c>
      <c r="G12" s="503" t="s">
        <v>8</v>
      </c>
      <c r="H12" s="504" t="s">
        <v>8</v>
      </c>
      <c r="I12" s="52" t="s">
        <v>8</v>
      </c>
      <c r="J12" s="52" t="s">
        <v>8</v>
      </c>
    </row>
    <row r="13" spans="1:10" ht="16.5" thickTop="1" thickBot="1">
      <c r="A13" s="52" t="s">
        <v>8</v>
      </c>
      <c r="B13" s="505" t="s">
        <v>8</v>
      </c>
      <c r="C13" s="500" t="s">
        <v>156</v>
      </c>
      <c r="D13" s="506" t="s">
        <v>28</v>
      </c>
      <c r="E13" s="515">
        <v>0</v>
      </c>
      <c r="F13" s="506" t="s">
        <v>8</v>
      </c>
      <c r="G13" s="506" t="s">
        <v>8</v>
      </c>
      <c r="H13" s="507" t="s">
        <v>8</v>
      </c>
      <c r="I13" s="52" t="s">
        <v>29</v>
      </c>
      <c r="J13" s="52" t="s">
        <v>8</v>
      </c>
    </row>
    <row r="14" spans="1:10" ht="16.5" thickTop="1" thickBot="1">
      <c r="A14" s="52" t="s">
        <v>8</v>
      </c>
      <c r="B14" s="52" t="s">
        <v>8</v>
      </c>
      <c r="C14" s="52" t="s">
        <v>8</v>
      </c>
      <c r="D14" s="52" t="s">
        <v>8</v>
      </c>
      <c r="E14" s="52" t="s">
        <v>8</v>
      </c>
      <c r="F14" s="52" t="s">
        <v>8</v>
      </c>
      <c r="G14" s="52" t="s">
        <v>8</v>
      </c>
      <c r="H14" s="52" t="s">
        <v>8</v>
      </c>
      <c r="I14" s="52" t="s">
        <v>8</v>
      </c>
      <c r="J14" s="52" t="s">
        <v>8</v>
      </c>
    </row>
    <row r="15" spans="1:10" ht="16.5" thickTop="1" thickBot="1">
      <c r="A15" s="52" t="s">
        <v>8</v>
      </c>
      <c r="B15" s="501" t="s">
        <v>30</v>
      </c>
      <c r="C15" s="500" t="s">
        <v>31</v>
      </c>
      <c r="D15" s="500" t="s">
        <v>32</v>
      </c>
      <c r="E15" s="500" t="s">
        <v>33</v>
      </c>
      <c r="F15" s="500" t="s">
        <v>34</v>
      </c>
      <c r="G15" s="500" t="s">
        <v>35</v>
      </c>
      <c r="H15" s="500" t="s">
        <v>36</v>
      </c>
      <c r="I15" s="52" t="s">
        <v>8</v>
      </c>
      <c r="J15" s="52" t="s">
        <v>8</v>
      </c>
    </row>
    <row r="16" spans="1:10" ht="16.5" thickTop="1" thickBot="1">
      <c r="A16" s="52" t="s">
        <v>8</v>
      </c>
      <c r="B16" s="52" t="s">
        <v>8</v>
      </c>
      <c r="C16" s="52" t="s">
        <v>8</v>
      </c>
      <c r="D16" s="52" t="s">
        <v>8</v>
      </c>
      <c r="E16" s="52" t="s">
        <v>8</v>
      </c>
      <c r="F16" s="52" t="s">
        <v>8</v>
      </c>
      <c r="G16" s="52" t="s">
        <v>8</v>
      </c>
      <c r="H16" s="52" t="s">
        <v>8</v>
      </c>
      <c r="I16" s="52" t="s">
        <v>8</v>
      </c>
      <c r="J16" s="52" t="s">
        <v>8</v>
      </c>
    </row>
    <row r="17" spans="1:10" ht="15.75" thickTop="1">
      <c r="A17" s="52" t="s">
        <v>8</v>
      </c>
      <c r="B17" s="517" t="s">
        <v>8</v>
      </c>
      <c r="C17" s="517" t="s">
        <v>8</v>
      </c>
      <c r="D17" s="522" t="s">
        <v>37</v>
      </c>
      <c r="E17" s="517" t="s">
        <v>8</v>
      </c>
      <c r="F17" s="517" t="s">
        <v>8</v>
      </c>
      <c r="G17" s="517" t="s">
        <v>8</v>
      </c>
      <c r="H17" s="504" t="s">
        <v>8</v>
      </c>
      <c r="I17" s="52" t="s">
        <v>8</v>
      </c>
      <c r="J17" s="52" t="s">
        <v>8</v>
      </c>
    </row>
    <row r="18" spans="1:10">
      <c r="A18" s="52" t="s">
        <v>8</v>
      </c>
      <c r="B18" s="518" t="s">
        <v>8</v>
      </c>
      <c r="C18" s="520" t="s">
        <v>8</v>
      </c>
      <c r="D18" s="520" t="s">
        <v>8</v>
      </c>
      <c r="E18" s="524" t="s">
        <v>8</v>
      </c>
      <c r="F18" s="520" t="s">
        <v>8</v>
      </c>
      <c r="G18" s="526" t="s">
        <v>8</v>
      </c>
      <c r="H18" s="512" t="s">
        <v>8</v>
      </c>
      <c r="I18" s="52" t="s">
        <v>8</v>
      </c>
      <c r="J18" s="52" t="s">
        <v>8</v>
      </c>
    </row>
    <row r="19" spans="1:10">
      <c r="A19" s="52" t="s">
        <v>8</v>
      </c>
      <c r="B19" s="518" t="s">
        <v>8</v>
      </c>
      <c r="C19" s="520" t="s">
        <v>8</v>
      </c>
      <c r="D19" s="520" t="s">
        <v>8</v>
      </c>
      <c r="E19" s="524" t="s">
        <v>8</v>
      </c>
      <c r="F19" s="520" t="s">
        <v>8</v>
      </c>
      <c r="G19" s="526" t="s">
        <v>8</v>
      </c>
      <c r="H19" s="512" t="s">
        <v>8</v>
      </c>
      <c r="I19" s="52" t="s">
        <v>8</v>
      </c>
      <c r="J19" s="52" t="s">
        <v>8</v>
      </c>
    </row>
    <row r="20" spans="1:10" ht="15.75" thickBot="1">
      <c r="A20" s="52" t="s">
        <v>8</v>
      </c>
      <c r="B20" s="519" t="s">
        <v>8</v>
      </c>
      <c r="C20" s="521" t="s">
        <v>8</v>
      </c>
      <c r="D20" s="523" t="s">
        <v>51</v>
      </c>
      <c r="E20" s="525">
        <f>SUM($E$18:$E$19)</f>
        <v>0</v>
      </c>
      <c r="F20" s="521" t="s">
        <v>8</v>
      </c>
      <c r="G20" s="527" t="s">
        <v>8</v>
      </c>
      <c r="H20" s="507" t="s">
        <v>8</v>
      </c>
      <c r="I20" s="52" t="s">
        <v>8</v>
      </c>
      <c r="J20" s="52" t="s">
        <v>8</v>
      </c>
    </row>
    <row r="21" spans="1:10" ht="15.75" thickTop="1">
      <c r="A21" s="52" t="s">
        <v>8</v>
      </c>
      <c r="B21" s="509" t="s">
        <v>8</v>
      </c>
      <c r="C21" s="52" t="s">
        <v>8</v>
      </c>
      <c r="D21" s="52" t="s">
        <v>8</v>
      </c>
      <c r="E21" s="53" t="s">
        <v>8</v>
      </c>
      <c r="F21" s="52" t="s">
        <v>8</v>
      </c>
      <c r="G21" s="508" t="s">
        <v>8</v>
      </c>
      <c r="H21" s="52" t="s">
        <v>8</v>
      </c>
      <c r="I21" s="52" t="s">
        <v>8</v>
      </c>
      <c r="J21" s="52" t="s">
        <v>8</v>
      </c>
    </row>
    <row r="22" spans="1:10" ht="15.75" thickBot="1">
      <c r="A22" s="52" t="s">
        <v>8</v>
      </c>
      <c r="B22" s="509" t="s">
        <v>8</v>
      </c>
      <c r="C22" s="52" t="s">
        <v>8</v>
      </c>
      <c r="D22" s="52" t="s">
        <v>8</v>
      </c>
      <c r="E22" s="53" t="s">
        <v>8</v>
      </c>
      <c r="F22" s="52" t="s">
        <v>8</v>
      </c>
      <c r="G22" s="508" t="s">
        <v>8</v>
      </c>
      <c r="H22" s="52" t="s">
        <v>8</v>
      </c>
      <c r="I22" s="52" t="s">
        <v>8</v>
      </c>
      <c r="J22" s="52" t="s">
        <v>8</v>
      </c>
    </row>
    <row r="23" spans="1:10" ht="15.75" thickTop="1">
      <c r="A23" s="52" t="s">
        <v>8</v>
      </c>
      <c r="B23" s="531" t="s">
        <v>8</v>
      </c>
      <c r="C23" s="517" t="s">
        <v>8</v>
      </c>
      <c r="D23" s="522" t="s">
        <v>52</v>
      </c>
      <c r="E23" s="532" t="s">
        <v>8</v>
      </c>
      <c r="F23" s="517" t="s">
        <v>8</v>
      </c>
      <c r="G23" s="533" t="s">
        <v>8</v>
      </c>
      <c r="H23" s="504" t="s">
        <v>8</v>
      </c>
      <c r="I23" s="52" t="s">
        <v>8</v>
      </c>
      <c r="J23" s="52" t="s">
        <v>8</v>
      </c>
    </row>
    <row r="24" spans="1:10">
      <c r="A24" s="52" t="s">
        <v>8</v>
      </c>
      <c r="B24" s="518" t="s">
        <v>8</v>
      </c>
      <c r="C24" s="520" t="s">
        <v>8</v>
      </c>
      <c r="D24" s="520" t="s">
        <v>8</v>
      </c>
      <c r="E24" s="524" t="s">
        <v>8</v>
      </c>
      <c r="F24" s="520" t="s">
        <v>8</v>
      </c>
      <c r="G24" s="526" t="s">
        <v>8</v>
      </c>
      <c r="H24" s="512" t="s">
        <v>8</v>
      </c>
      <c r="I24" s="52" t="s">
        <v>8</v>
      </c>
      <c r="J24" s="52" t="s">
        <v>8</v>
      </c>
    </row>
    <row r="25" spans="1:10">
      <c r="A25" s="52" t="s">
        <v>8</v>
      </c>
      <c r="B25" s="518" t="s">
        <v>8</v>
      </c>
      <c r="C25" s="520" t="s">
        <v>8</v>
      </c>
      <c r="D25" s="520" t="s">
        <v>8</v>
      </c>
      <c r="E25" s="524" t="s">
        <v>8</v>
      </c>
      <c r="F25" s="520" t="s">
        <v>8</v>
      </c>
      <c r="G25" s="526" t="s">
        <v>8</v>
      </c>
      <c r="H25" s="512" t="s">
        <v>8</v>
      </c>
      <c r="I25" s="52" t="s">
        <v>8</v>
      </c>
      <c r="J25" s="52" t="s">
        <v>8</v>
      </c>
    </row>
    <row r="26" spans="1:10" ht="15.75" thickBot="1">
      <c r="A26" s="52" t="s">
        <v>8</v>
      </c>
      <c r="B26" s="519" t="s">
        <v>8</v>
      </c>
      <c r="C26" s="521" t="s">
        <v>8</v>
      </c>
      <c r="D26" s="523" t="s">
        <v>51</v>
      </c>
      <c r="E26" s="525">
        <f>SUM($E$24:$E$25)</f>
        <v>0</v>
      </c>
      <c r="F26" s="521" t="s">
        <v>8</v>
      </c>
      <c r="G26" s="527" t="s">
        <v>8</v>
      </c>
      <c r="H26" s="507" t="s">
        <v>8</v>
      </c>
      <c r="I26" s="52" t="s">
        <v>8</v>
      </c>
      <c r="J26" s="52" t="s">
        <v>8</v>
      </c>
    </row>
    <row r="27" spans="1:10" ht="15.75" thickTop="1">
      <c r="A27" s="52" t="s">
        <v>8</v>
      </c>
      <c r="B27" s="509" t="s">
        <v>8</v>
      </c>
      <c r="C27" s="52" t="s">
        <v>8</v>
      </c>
      <c r="D27" s="52" t="s">
        <v>8</v>
      </c>
      <c r="E27" s="53" t="s">
        <v>8</v>
      </c>
      <c r="F27" s="52" t="s">
        <v>8</v>
      </c>
      <c r="G27" s="508" t="s">
        <v>8</v>
      </c>
      <c r="H27" s="52" t="s">
        <v>8</v>
      </c>
      <c r="I27" s="52" t="s">
        <v>8</v>
      </c>
      <c r="J27" s="52" t="s">
        <v>8</v>
      </c>
    </row>
    <row r="28" spans="1:10" ht="15.75" thickBot="1">
      <c r="A28" s="52" t="s">
        <v>8</v>
      </c>
      <c r="B28" s="509" t="s">
        <v>8</v>
      </c>
      <c r="C28" s="52" t="s">
        <v>8</v>
      </c>
      <c r="D28" s="52" t="s">
        <v>8</v>
      </c>
      <c r="E28" s="53" t="s">
        <v>8</v>
      </c>
      <c r="F28" s="52" t="s">
        <v>8</v>
      </c>
      <c r="G28" s="508" t="s">
        <v>8</v>
      </c>
      <c r="H28" s="52" t="s">
        <v>8</v>
      </c>
      <c r="I28" s="52" t="s">
        <v>8</v>
      </c>
      <c r="J28" s="52" t="s">
        <v>8</v>
      </c>
    </row>
    <row r="29" spans="1:10" ht="15.75" thickTop="1">
      <c r="A29" s="52" t="s">
        <v>8</v>
      </c>
      <c r="B29" s="531" t="s">
        <v>8</v>
      </c>
      <c r="C29" s="517" t="s">
        <v>8</v>
      </c>
      <c r="D29" s="522" t="s">
        <v>85</v>
      </c>
      <c r="E29" s="532" t="s">
        <v>8</v>
      </c>
      <c r="F29" s="517" t="s">
        <v>8</v>
      </c>
      <c r="G29" s="533" t="s">
        <v>8</v>
      </c>
      <c r="H29" s="504" t="s">
        <v>8</v>
      </c>
      <c r="I29" s="52" t="s">
        <v>8</v>
      </c>
      <c r="J29" s="52" t="s">
        <v>8</v>
      </c>
    </row>
    <row r="30" spans="1:10">
      <c r="A30" s="52" t="s">
        <v>8</v>
      </c>
      <c r="B30" s="518" t="s">
        <v>8</v>
      </c>
      <c r="C30" s="520" t="s">
        <v>8</v>
      </c>
      <c r="D30" s="520" t="s">
        <v>8</v>
      </c>
      <c r="E30" s="524" t="s">
        <v>8</v>
      </c>
      <c r="F30" s="520" t="s">
        <v>8</v>
      </c>
      <c r="G30" s="526" t="s">
        <v>8</v>
      </c>
      <c r="H30" s="512" t="s">
        <v>8</v>
      </c>
      <c r="I30" s="52" t="s">
        <v>8</v>
      </c>
      <c r="J30" s="52" t="s">
        <v>8</v>
      </c>
    </row>
    <row r="31" spans="1:10">
      <c r="A31" s="52" t="s">
        <v>8</v>
      </c>
      <c r="B31" s="518" t="s">
        <v>8</v>
      </c>
      <c r="C31" s="520" t="s">
        <v>8</v>
      </c>
      <c r="D31" s="520" t="s">
        <v>8</v>
      </c>
      <c r="E31" s="524" t="s">
        <v>8</v>
      </c>
      <c r="F31" s="520" t="s">
        <v>8</v>
      </c>
      <c r="G31" s="526" t="s">
        <v>8</v>
      </c>
      <c r="H31" s="512" t="s">
        <v>8</v>
      </c>
      <c r="I31" s="52" t="s">
        <v>8</v>
      </c>
      <c r="J31" s="52" t="s">
        <v>8</v>
      </c>
    </row>
    <row r="32" spans="1:10" ht="15.75" thickBot="1">
      <c r="A32" s="52" t="s">
        <v>8</v>
      </c>
      <c r="B32" s="519" t="s">
        <v>8</v>
      </c>
      <c r="C32" s="521" t="s">
        <v>8</v>
      </c>
      <c r="D32" s="523" t="s">
        <v>51</v>
      </c>
      <c r="E32" s="525">
        <f>SUM($E$30:$E$31)</f>
        <v>0</v>
      </c>
      <c r="F32" s="521" t="s">
        <v>8</v>
      </c>
      <c r="G32" s="527" t="s">
        <v>8</v>
      </c>
      <c r="H32" s="507" t="s">
        <v>8</v>
      </c>
      <c r="I32" s="52" t="s">
        <v>8</v>
      </c>
      <c r="J32" s="52" t="s">
        <v>8</v>
      </c>
    </row>
    <row r="33" spans="1:10" ht="15.75" thickTop="1">
      <c r="A33" s="52" t="s">
        <v>8</v>
      </c>
      <c r="B33" s="509" t="s">
        <v>8</v>
      </c>
      <c r="C33" s="52" t="s">
        <v>8</v>
      </c>
      <c r="D33" s="52" t="s">
        <v>8</v>
      </c>
      <c r="E33" s="53" t="s">
        <v>8</v>
      </c>
      <c r="F33" s="52" t="s">
        <v>8</v>
      </c>
      <c r="G33" s="508" t="s">
        <v>8</v>
      </c>
      <c r="H33" s="52" t="s">
        <v>8</v>
      </c>
      <c r="I33" s="52" t="s">
        <v>8</v>
      </c>
      <c r="J33" s="52" t="s">
        <v>8</v>
      </c>
    </row>
    <row r="34" spans="1:10" ht="15.75" thickBot="1">
      <c r="A34" s="52" t="s">
        <v>8</v>
      </c>
      <c r="B34" s="509" t="s">
        <v>8</v>
      </c>
      <c r="C34" s="52" t="s">
        <v>8</v>
      </c>
      <c r="D34" s="52" t="s">
        <v>8</v>
      </c>
      <c r="E34" s="53" t="s">
        <v>8</v>
      </c>
      <c r="F34" s="52" t="s">
        <v>8</v>
      </c>
      <c r="G34" s="508" t="s">
        <v>8</v>
      </c>
      <c r="H34" s="52" t="s">
        <v>8</v>
      </c>
      <c r="I34" s="52" t="s">
        <v>8</v>
      </c>
      <c r="J34" s="52" t="s">
        <v>8</v>
      </c>
    </row>
    <row r="35" spans="1:10" ht="15.75" thickTop="1">
      <c r="A35" s="52" t="s">
        <v>8</v>
      </c>
      <c r="B35" s="531" t="s">
        <v>8</v>
      </c>
      <c r="C35" s="517" t="s">
        <v>8</v>
      </c>
      <c r="D35" s="522" t="s">
        <v>95</v>
      </c>
      <c r="E35" s="532" t="s">
        <v>8</v>
      </c>
      <c r="F35" s="517" t="s">
        <v>8</v>
      </c>
      <c r="G35" s="533" t="s">
        <v>8</v>
      </c>
      <c r="H35" s="504" t="s">
        <v>8</v>
      </c>
      <c r="I35" s="52" t="s">
        <v>8</v>
      </c>
      <c r="J35" s="52" t="s">
        <v>8</v>
      </c>
    </row>
    <row r="36" spans="1:10">
      <c r="A36" s="52" t="s">
        <v>8</v>
      </c>
      <c r="B36" s="518" t="s">
        <v>8</v>
      </c>
      <c r="C36" s="520" t="s">
        <v>8</v>
      </c>
      <c r="D36" s="520" t="s">
        <v>8</v>
      </c>
      <c r="E36" s="524" t="s">
        <v>8</v>
      </c>
      <c r="F36" s="520" t="s">
        <v>8</v>
      </c>
      <c r="G36" s="526" t="s">
        <v>8</v>
      </c>
      <c r="H36" s="512" t="s">
        <v>8</v>
      </c>
      <c r="I36" s="52" t="s">
        <v>8</v>
      </c>
      <c r="J36" s="52" t="s">
        <v>8</v>
      </c>
    </row>
    <row r="37" spans="1:10">
      <c r="A37" s="52" t="s">
        <v>8</v>
      </c>
      <c r="B37" s="518" t="s">
        <v>8</v>
      </c>
      <c r="C37" s="520" t="s">
        <v>8</v>
      </c>
      <c r="D37" s="520" t="s">
        <v>8</v>
      </c>
      <c r="E37" s="524" t="s">
        <v>8</v>
      </c>
      <c r="F37" s="520" t="s">
        <v>8</v>
      </c>
      <c r="G37" s="526" t="s">
        <v>8</v>
      </c>
      <c r="H37" s="512" t="s">
        <v>8</v>
      </c>
      <c r="I37" s="52" t="s">
        <v>8</v>
      </c>
      <c r="J37" s="52" t="s">
        <v>8</v>
      </c>
    </row>
    <row r="38" spans="1:10" ht="15.75" thickBot="1">
      <c r="A38" s="52" t="s">
        <v>8</v>
      </c>
      <c r="B38" s="519" t="s">
        <v>8</v>
      </c>
      <c r="C38" s="521" t="s">
        <v>8</v>
      </c>
      <c r="D38" s="523" t="s">
        <v>51</v>
      </c>
      <c r="E38" s="525">
        <f>SUM($E$36:$E$37)</f>
        <v>0</v>
      </c>
      <c r="F38" s="521" t="s">
        <v>8</v>
      </c>
      <c r="G38" s="527" t="s">
        <v>8</v>
      </c>
      <c r="H38" s="507" t="s">
        <v>8</v>
      </c>
      <c r="I38" s="52" t="s">
        <v>8</v>
      </c>
      <c r="J38" s="52" t="s">
        <v>8</v>
      </c>
    </row>
    <row r="39" spans="1:10" ht="16.5" thickTop="1" thickBot="1">
      <c r="A39" s="52" t="s">
        <v>8</v>
      </c>
      <c r="B39" s="509" t="s">
        <v>8</v>
      </c>
      <c r="C39" s="52" t="s">
        <v>8</v>
      </c>
      <c r="D39" s="52" t="s">
        <v>8</v>
      </c>
      <c r="E39" s="53" t="s">
        <v>8</v>
      </c>
      <c r="F39" s="52" t="s">
        <v>8</v>
      </c>
      <c r="G39" s="508" t="s">
        <v>8</v>
      </c>
      <c r="H39" s="52" t="s">
        <v>8</v>
      </c>
      <c r="I39" s="52" t="s">
        <v>8</v>
      </c>
      <c r="J39" s="52" t="s">
        <v>8</v>
      </c>
    </row>
    <row r="40" spans="1:10" ht="15.75" thickTop="1">
      <c r="A40" s="52" t="s">
        <v>8</v>
      </c>
      <c r="B40" s="528" t="s">
        <v>8</v>
      </c>
      <c r="C40" s="503" t="s">
        <v>8</v>
      </c>
      <c r="D40" s="503" t="s">
        <v>8</v>
      </c>
      <c r="E40" s="529" t="s">
        <v>8</v>
      </c>
      <c r="F40" s="503" t="s">
        <v>8</v>
      </c>
      <c r="G40" s="530" t="s">
        <v>8</v>
      </c>
      <c r="H40" s="504" t="s">
        <v>8</v>
      </c>
      <c r="I40" s="52" t="s">
        <v>8</v>
      </c>
      <c r="J40" s="52" t="s">
        <v>8</v>
      </c>
    </row>
    <row r="41" spans="1:10">
      <c r="A41" s="52" t="s">
        <v>8</v>
      </c>
      <c r="B41" s="511" t="s">
        <v>8</v>
      </c>
      <c r="C41" s="1992" t="s">
        <v>8</v>
      </c>
      <c r="D41" s="1994" t="s">
        <v>114</v>
      </c>
      <c r="E41" s="1993">
        <f>ABS(E13+$E$20-$E$38+$E$26-$E$32)</f>
        <v>0</v>
      </c>
      <c r="F41" s="1992" t="s">
        <v>8</v>
      </c>
      <c r="G41" s="1996" t="s">
        <v>8</v>
      </c>
      <c r="H41" s="512" t="s">
        <v>8</v>
      </c>
      <c r="I41" s="52" t="s">
        <v>8</v>
      </c>
      <c r="J41" s="52" t="s">
        <v>8</v>
      </c>
    </row>
    <row r="42" spans="1:10">
      <c r="A42" s="52" t="s">
        <v>8</v>
      </c>
      <c r="B42" s="511" t="s">
        <v>8</v>
      </c>
      <c r="C42" s="1992" t="s">
        <v>8</v>
      </c>
      <c r="D42" s="1994" t="s">
        <v>115</v>
      </c>
      <c r="E42" s="1993">
        <v>0</v>
      </c>
      <c r="F42" s="1992" t="s">
        <v>8</v>
      </c>
      <c r="G42" s="1996" t="s">
        <v>8</v>
      </c>
      <c r="H42" s="512" t="s">
        <v>8</v>
      </c>
      <c r="I42" s="52" t="s">
        <v>116</v>
      </c>
      <c r="J42" s="52" t="s">
        <v>8</v>
      </c>
    </row>
    <row r="43" spans="1:10" ht="15.75" thickBot="1">
      <c r="A43" s="52" t="s">
        <v>8</v>
      </c>
      <c r="B43" s="513" t="s">
        <v>8</v>
      </c>
      <c r="C43" s="506" t="s">
        <v>8</v>
      </c>
      <c r="D43" s="514" t="s">
        <v>117</v>
      </c>
      <c r="E43" s="515">
        <f>$E$42-$E$41</f>
        <v>0</v>
      </c>
      <c r="F43" s="506" t="s">
        <v>8</v>
      </c>
      <c r="G43" s="516" t="s">
        <v>8</v>
      </c>
      <c r="H43" s="507" t="s">
        <v>8</v>
      </c>
      <c r="I43" s="52" t="s">
        <v>8</v>
      </c>
      <c r="J43" s="52" t="s">
        <v>8</v>
      </c>
    </row>
    <row r="44" spans="1:10" ht="16.5" thickTop="1" thickBot="1">
      <c r="A44" s="52" t="s">
        <v>8</v>
      </c>
      <c r="B44" s="509" t="s">
        <v>8</v>
      </c>
      <c r="C44" s="52" t="s">
        <v>8</v>
      </c>
      <c r="D44" s="52" t="s">
        <v>8</v>
      </c>
      <c r="E44" s="53" t="s">
        <v>8</v>
      </c>
      <c r="F44" s="52" t="s">
        <v>8</v>
      </c>
      <c r="G44" s="508" t="s">
        <v>8</v>
      </c>
      <c r="H44" s="52" t="s">
        <v>8</v>
      </c>
      <c r="I44" s="52" t="s">
        <v>8</v>
      </c>
      <c r="J44" s="52" t="s">
        <v>8</v>
      </c>
    </row>
    <row r="45" spans="1:10" ht="15.75" thickTop="1">
      <c r="A45" s="52" t="s">
        <v>8</v>
      </c>
      <c r="B45" s="528" t="s">
        <v>8</v>
      </c>
      <c r="C45" s="503" t="s">
        <v>8</v>
      </c>
      <c r="D45" s="510" t="s">
        <v>118</v>
      </c>
      <c r="E45" s="534" t="s">
        <v>119</v>
      </c>
      <c r="F45" s="510" t="s">
        <v>120</v>
      </c>
      <c r="G45" s="530">
        <v>45981</v>
      </c>
      <c r="H45" s="504" t="s">
        <v>8</v>
      </c>
      <c r="I45" s="52" t="s">
        <v>8</v>
      </c>
      <c r="J45" s="52" t="s">
        <v>8</v>
      </c>
    </row>
    <row r="46" spans="1:10">
      <c r="A46" s="52" t="s">
        <v>8</v>
      </c>
      <c r="B46" s="511" t="s">
        <v>8</v>
      </c>
      <c r="C46" s="1992" t="s">
        <v>8</v>
      </c>
      <c r="D46" s="1992" t="s">
        <v>8</v>
      </c>
      <c r="E46" s="1995" t="s">
        <v>8</v>
      </c>
      <c r="F46" s="1992" t="s">
        <v>8</v>
      </c>
      <c r="G46" s="1996" t="s">
        <v>8</v>
      </c>
      <c r="H46" s="512" t="s">
        <v>8</v>
      </c>
      <c r="I46" s="52" t="s">
        <v>8</v>
      </c>
      <c r="J46" s="52" t="s">
        <v>8</v>
      </c>
    </row>
    <row r="47" spans="1:10">
      <c r="A47" s="52" t="s">
        <v>8</v>
      </c>
      <c r="B47" s="511" t="s">
        <v>8</v>
      </c>
      <c r="C47" s="1992" t="s">
        <v>8</v>
      </c>
      <c r="D47" s="1992" t="s">
        <v>8</v>
      </c>
      <c r="E47" s="1995" t="s">
        <v>8</v>
      </c>
      <c r="F47" s="1992" t="s">
        <v>8</v>
      </c>
      <c r="G47" s="1996" t="s">
        <v>8</v>
      </c>
      <c r="H47" s="512" t="s">
        <v>8</v>
      </c>
      <c r="I47" s="52" t="s">
        <v>8</v>
      </c>
      <c r="J47" s="52" t="s">
        <v>8</v>
      </c>
    </row>
    <row r="48" spans="1:10">
      <c r="A48" s="52" t="s">
        <v>8</v>
      </c>
      <c r="B48" s="511" t="s">
        <v>8</v>
      </c>
      <c r="C48" s="1992" t="s">
        <v>8</v>
      </c>
      <c r="D48" s="1994" t="s">
        <v>121</v>
      </c>
      <c r="E48" s="1993" t="s">
        <v>8</v>
      </c>
      <c r="F48" s="1994" t="s">
        <v>120</v>
      </c>
      <c r="G48" s="1996" t="s">
        <v>8</v>
      </c>
      <c r="H48" s="512" t="s">
        <v>8</v>
      </c>
      <c r="I48" s="52" t="s">
        <v>8</v>
      </c>
      <c r="J48" s="52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30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12</v>
      </c>
      <c r="J1" s="57" t="s">
        <v>13</v>
      </c>
    </row>
    <row r="2" spans="1:10">
      <c r="A2" s="55" t="s">
        <v>8</v>
      </c>
      <c r="B2" s="55" t="s">
        <v>8</v>
      </c>
      <c r="C2" s="55" t="s">
        <v>8</v>
      </c>
      <c r="D2" s="55" t="s">
        <v>8</v>
      </c>
      <c r="E2" s="55" t="s">
        <v>8</v>
      </c>
      <c r="F2" s="55" t="s">
        <v>8</v>
      </c>
      <c r="G2" s="55" t="s">
        <v>8</v>
      </c>
      <c r="H2" s="55" t="s">
        <v>8</v>
      </c>
      <c r="I2" s="55" t="s">
        <v>8</v>
      </c>
      <c r="J2" s="55" t="s">
        <v>8</v>
      </c>
    </row>
    <row r="3" spans="1:10" ht="15.75" thickBot="1">
      <c r="A3" s="55" t="s">
        <v>8</v>
      </c>
      <c r="B3" s="55" t="s">
        <v>8</v>
      </c>
      <c r="C3" s="55" t="s">
        <v>8</v>
      </c>
      <c r="D3" s="55" t="s">
        <v>8</v>
      </c>
      <c r="E3" s="55" t="s">
        <v>8</v>
      </c>
      <c r="F3" s="55" t="s">
        <v>8</v>
      </c>
      <c r="G3" s="55" t="s">
        <v>8</v>
      </c>
      <c r="H3" s="55" t="s">
        <v>8</v>
      </c>
      <c r="I3" s="55" t="s">
        <v>8</v>
      </c>
      <c r="J3" s="55" t="s">
        <v>8</v>
      </c>
    </row>
    <row r="4" spans="1:10" ht="16.5" thickTop="1" thickBot="1">
      <c r="A4" s="55" t="s">
        <v>8</v>
      </c>
      <c r="B4" s="55" t="s">
        <v>14</v>
      </c>
      <c r="C4" s="55" t="s">
        <v>8</v>
      </c>
      <c r="D4" s="536" t="s">
        <v>15</v>
      </c>
      <c r="E4" s="55" t="s">
        <v>16</v>
      </c>
      <c r="F4" s="536" t="s">
        <v>166</v>
      </c>
      <c r="G4" s="55" t="s">
        <v>8</v>
      </c>
      <c r="H4" s="55" t="s">
        <v>8</v>
      </c>
      <c r="I4" s="55" t="s">
        <v>8</v>
      </c>
      <c r="J4" s="55" t="s">
        <v>8</v>
      </c>
    </row>
    <row r="5" spans="1:10" ht="16.5" thickTop="1" thickBot="1">
      <c r="A5" s="55" t="s">
        <v>8</v>
      </c>
      <c r="B5" s="55" t="s">
        <v>8</v>
      </c>
      <c r="C5" s="55" t="s">
        <v>8</v>
      </c>
      <c r="D5" s="55" t="s">
        <v>8</v>
      </c>
      <c r="E5" s="55" t="s">
        <v>8</v>
      </c>
      <c r="F5" s="55" t="s">
        <v>8</v>
      </c>
      <c r="G5" s="55" t="s">
        <v>8</v>
      </c>
      <c r="H5" s="55" t="s">
        <v>8</v>
      </c>
      <c r="I5" s="55" t="s">
        <v>8</v>
      </c>
      <c r="J5" s="55" t="s">
        <v>8</v>
      </c>
    </row>
    <row r="6" spans="1:10" ht="16.5" thickTop="1" thickBot="1">
      <c r="A6" s="55" t="s">
        <v>8</v>
      </c>
      <c r="B6" s="55" t="s">
        <v>18</v>
      </c>
      <c r="C6" s="55" t="s">
        <v>8</v>
      </c>
      <c r="D6" s="536" t="s">
        <v>19</v>
      </c>
      <c r="E6" s="55" t="s">
        <v>20</v>
      </c>
      <c r="F6" s="536" t="s">
        <v>170</v>
      </c>
      <c r="G6" s="55" t="s">
        <v>8</v>
      </c>
      <c r="H6" s="55" t="s">
        <v>8</v>
      </c>
      <c r="I6" s="55" t="s">
        <v>8</v>
      </c>
      <c r="J6" s="55" t="s">
        <v>8</v>
      </c>
    </row>
    <row r="7" spans="1:10" ht="16.5" thickTop="1" thickBot="1">
      <c r="A7" s="55" t="s">
        <v>8</v>
      </c>
      <c r="B7" s="55" t="s">
        <v>8</v>
      </c>
      <c r="C7" s="55" t="s">
        <v>8</v>
      </c>
      <c r="D7" s="55" t="s">
        <v>8</v>
      </c>
      <c r="E7" s="55" t="s">
        <v>8</v>
      </c>
      <c r="F7" s="55" t="s">
        <v>8</v>
      </c>
      <c r="G7" s="55" t="s">
        <v>8</v>
      </c>
      <c r="H7" s="55" t="s">
        <v>8</v>
      </c>
      <c r="I7" s="55" t="s">
        <v>8</v>
      </c>
      <c r="J7" s="55" t="s">
        <v>8</v>
      </c>
    </row>
    <row r="8" spans="1:10" ht="16.5" thickTop="1" thickBot="1">
      <c r="A8" s="55" t="s">
        <v>8</v>
      </c>
      <c r="B8" s="55" t="s">
        <v>22</v>
      </c>
      <c r="C8" s="55" t="s">
        <v>8</v>
      </c>
      <c r="D8" s="536" t="s">
        <v>11</v>
      </c>
      <c r="E8" s="55" t="s">
        <v>23</v>
      </c>
      <c r="F8" s="536" t="s">
        <v>168</v>
      </c>
      <c r="G8" s="55" t="s">
        <v>8</v>
      </c>
      <c r="H8" s="55" t="s">
        <v>8</v>
      </c>
      <c r="I8" s="55" t="s">
        <v>8</v>
      </c>
      <c r="J8" s="55" t="s">
        <v>8</v>
      </c>
    </row>
    <row r="9" spans="1:10" ht="16.5" thickTop="1" thickBot="1">
      <c r="A9" s="55" t="s">
        <v>8</v>
      </c>
      <c r="B9" s="55" t="s">
        <v>8</v>
      </c>
      <c r="C9" s="55" t="s">
        <v>8</v>
      </c>
      <c r="D9" s="55" t="s">
        <v>8</v>
      </c>
      <c r="E9" s="55" t="s">
        <v>8</v>
      </c>
      <c r="F9" s="55" t="s">
        <v>8</v>
      </c>
      <c r="G9" s="55" t="s">
        <v>8</v>
      </c>
      <c r="H9" s="55" t="s">
        <v>8</v>
      </c>
      <c r="I9" s="55" t="s">
        <v>8</v>
      </c>
      <c r="J9" s="55" t="s">
        <v>8</v>
      </c>
    </row>
    <row r="10" spans="1:10" ht="16.5" thickTop="1" thickBot="1">
      <c r="A10" s="55" t="s">
        <v>8</v>
      </c>
      <c r="B10" s="55" t="s">
        <v>25</v>
      </c>
      <c r="C10" s="55" t="s">
        <v>8</v>
      </c>
      <c r="D10" s="536" t="s">
        <v>26</v>
      </c>
      <c r="E10" s="55" t="s">
        <v>8</v>
      </c>
      <c r="F10" s="55" t="s">
        <v>8</v>
      </c>
      <c r="G10" s="55" t="s">
        <v>8</v>
      </c>
      <c r="H10" s="55" t="s">
        <v>8</v>
      </c>
      <c r="I10" s="55" t="s">
        <v>8</v>
      </c>
      <c r="J10" s="55" t="s">
        <v>8</v>
      </c>
    </row>
    <row r="11" spans="1:10" ht="16.5" thickTop="1" thickBot="1">
      <c r="A11" s="55" t="s">
        <v>8</v>
      </c>
      <c r="B11" s="55" t="s">
        <v>8</v>
      </c>
      <c r="C11" s="55" t="s">
        <v>8</v>
      </c>
      <c r="D11" s="55" t="s">
        <v>8</v>
      </c>
      <c r="E11" s="55" t="s">
        <v>8</v>
      </c>
      <c r="F11" s="55" t="s">
        <v>8</v>
      </c>
      <c r="G11" s="55" t="s">
        <v>8</v>
      </c>
      <c r="H11" s="55" t="s">
        <v>8</v>
      </c>
      <c r="I11" s="55" t="s">
        <v>8</v>
      </c>
      <c r="J11" s="55" t="s">
        <v>8</v>
      </c>
    </row>
    <row r="12" spans="1:10" ht="16.5" thickTop="1" thickBot="1">
      <c r="A12" s="55" t="s">
        <v>8</v>
      </c>
      <c r="B12" s="537" t="s">
        <v>8</v>
      </c>
      <c r="C12" s="538" t="s">
        <v>8</v>
      </c>
      <c r="D12" s="538" t="s">
        <v>8</v>
      </c>
      <c r="E12" s="538" t="s">
        <v>8</v>
      </c>
      <c r="F12" s="538" t="s">
        <v>8</v>
      </c>
      <c r="G12" s="538" t="s">
        <v>8</v>
      </c>
      <c r="H12" s="539" t="s">
        <v>8</v>
      </c>
      <c r="I12" s="55" t="s">
        <v>8</v>
      </c>
      <c r="J12" s="55" t="s">
        <v>8</v>
      </c>
    </row>
    <row r="13" spans="1:10" ht="16.5" thickTop="1" thickBot="1">
      <c r="A13" s="55" t="s">
        <v>8</v>
      </c>
      <c r="B13" s="540" t="s">
        <v>8</v>
      </c>
      <c r="C13" s="535" t="s">
        <v>156</v>
      </c>
      <c r="D13" s="541" t="s">
        <v>28</v>
      </c>
      <c r="E13" s="550">
        <v>0</v>
      </c>
      <c r="F13" s="541" t="s">
        <v>8</v>
      </c>
      <c r="G13" s="541" t="s">
        <v>8</v>
      </c>
      <c r="H13" s="542" t="s">
        <v>8</v>
      </c>
      <c r="I13" s="55" t="s">
        <v>29</v>
      </c>
      <c r="J13" s="55" t="s">
        <v>8</v>
      </c>
    </row>
    <row r="14" spans="1:10" ht="16.5" thickTop="1" thickBot="1">
      <c r="A14" s="55" t="s">
        <v>8</v>
      </c>
      <c r="B14" s="55" t="s">
        <v>8</v>
      </c>
      <c r="C14" s="55" t="s">
        <v>8</v>
      </c>
      <c r="D14" s="55" t="s">
        <v>8</v>
      </c>
      <c r="E14" s="55" t="s">
        <v>8</v>
      </c>
      <c r="F14" s="55" t="s">
        <v>8</v>
      </c>
      <c r="G14" s="55" t="s">
        <v>8</v>
      </c>
      <c r="H14" s="55" t="s">
        <v>8</v>
      </c>
      <c r="I14" s="55" t="s">
        <v>8</v>
      </c>
      <c r="J14" s="55" t="s">
        <v>8</v>
      </c>
    </row>
    <row r="15" spans="1:10" ht="16.5" thickTop="1" thickBot="1">
      <c r="A15" s="55" t="s">
        <v>8</v>
      </c>
      <c r="B15" s="536" t="s">
        <v>30</v>
      </c>
      <c r="C15" s="535" t="s">
        <v>31</v>
      </c>
      <c r="D15" s="535" t="s">
        <v>32</v>
      </c>
      <c r="E15" s="535" t="s">
        <v>33</v>
      </c>
      <c r="F15" s="535" t="s">
        <v>34</v>
      </c>
      <c r="G15" s="535" t="s">
        <v>35</v>
      </c>
      <c r="H15" s="535" t="s">
        <v>36</v>
      </c>
      <c r="I15" s="55" t="s">
        <v>8</v>
      </c>
      <c r="J15" s="55" t="s">
        <v>8</v>
      </c>
    </row>
    <row r="16" spans="1:10" ht="16.5" thickTop="1" thickBot="1">
      <c r="A16" s="55" t="s">
        <v>8</v>
      </c>
      <c r="B16" s="55" t="s">
        <v>8</v>
      </c>
      <c r="C16" s="55" t="s">
        <v>8</v>
      </c>
      <c r="D16" s="55" t="s">
        <v>8</v>
      </c>
      <c r="E16" s="55" t="s">
        <v>8</v>
      </c>
      <c r="F16" s="55" t="s">
        <v>8</v>
      </c>
      <c r="G16" s="55" t="s">
        <v>8</v>
      </c>
      <c r="H16" s="55" t="s">
        <v>8</v>
      </c>
      <c r="I16" s="55" t="s">
        <v>8</v>
      </c>
      <c r="J16" s="55" t="s">
        <v>8</v>
      </c>
    </row>
    <row r="17" spans="1:10" ht="15.75" thickTop="1">
      <c r="A17" s="55" t="s">
        <v>8</v>
      </c>
      <c r="B17" s="552" t="s">
        <v>8</v>
      </c>
      <c r="C17" s="552" t="s">
        <v>8</v>
      </c>
      <c r="D17" s="557" t="s">
        <v>37</v>
      </c>
      <c r="E17" s="552" t="s">
        <v>8</v>
      </c>
      <c r="F17" s="552" t="s">
        <v>8</v>
      </c>
      <c r="G17" s="552" t="s">
        <v>8</v>
      </c>
      <c r="H17" s="539" t="s">
        <v>8</v>
      </c>
      <c r="I17" s="55" t="s">
        <v>8</v>
      </c>
      <c r="J17" s="55" t="s">
        <v>8</v>
      </c>
    </row>
    <row r="18" spans="1:10">
      <c r="A18" s="55" t="s">
        <v>8</v>
      </c>
      <c r="B18" s="553" t="s">
        <v>8</v>
      </c>
      <c r="C18" s="555" t="s">
        <v>8</v>
      </c>
      <c r="D18" s="555" t="s">
        <v>8</v>
      </c>
      <c r="E18" s="559" t="s">
        <v>8</v>
      </c>
      <c r="F18" s="555" t="s">
        <v>8</v>
      </c>
      <c r="G18" s="561" t="s">
        <v>8</v>
      </c>
      <c r="H18" s="547" t="s">
        <v>8</v>
      </c>
      <c r="I18" s="55" t="s">
        <v>8</v>
      </c>
      <c r="J18" s="55" t="s">
        <v>8</v>
      </c>
    </row>
    <row r="19" spans="1:10">
      <c r="A19" s="55" t="s">
        <v>8</v>
      </c>
      <c r="B19" s="553" t="s">
        <v>8</v>
      </c>
      <c r="C19" s="555" t="s">
        <v>8</v>
      </c>
      <c r="D19" s="555" t="s">
        <v>8</v>
      </c>
      <c r="E19" s="559" t="s">
        <v>8</v>
      </c>
      <c r="F19" s="555" t="s">
        <v>8</v>
      </c>
      <c r="G19" s="561" t="s">
        <v>8</v>
      </c>
      <c r="H19" s="547" t="s">
        <v>8</v>
      </c>
      <c r="I19" s="55" t="s">
        <v>8</v>
      </c>
      <c r="J19" s="55" t="s">
        <v>8</v>
      </c>
    </row>
    <row r="20" spans="1:10" ht="15.75" thickBot="1">
      <c r="A20" s="55" t="s">
        <v>8</v>
      </c>
      <c r="B20" s="554" t="s">
        <v>8</v>
      </c>
      <c r="C20" s="556" t="s">
        <v>8</v>
      </c>
      <c r="D20" s="558" t="s">
        <v>51</v>
      </c>
      <c r="E20" s="560">
        <f>SUM($E$18:$E$19)</f>
        <v>0</v>
      </c>
      <c r="F20" s="556" t="s">
        <v>8</v>
      </c>
      <c r="G20" s="562" t="s">
        <v>8</v>
      </c>
      <c r="H20" s="542" t="s">
        <v>8</v>
      </c>
      <c r="I20" s="55" t="s">
        <v>8</v>
      </c>
      <c r="J20" s="55" t="s">
        <v>8</v>
      </c>
    </row>
    <row r="21" spans="1:10" ht="15.75" thickTop="1">
      <c r="A21" s="55" t="s">
        <v>8</v>
      </c>
      <c r="B21" s="544" t="s">
        <v>8</v>
      </c>
      <c r="C21" s="55" t="s">
        <v>8</v>
      </c>
      <c r="D21" s="55" t="s">
        <v>8</v>
      </c>
      <c r="E21" s="56" t="s">
        <v>8</v>
      </c>
      <c r="F21" s="55" t="s">
        <v>8</v>
      </c>
      <c r="G21" s="543" t="s">
        <v>8</v>
      </c>
      <c r="H21" s="55" t="s">
        <v>8</v>
      </c>
      <c r="I21" s="55" t="s">
        <v>8</v>
      </c>
      <c r="J21" s="55" t="s">
        <v>8</v>
      </c>
    </row>
    <row r="22" spans="1:10" ht="15.75" thickBot="1">
      <c r="A22" s="55" t="s">
        <v>8</v>
      </c>
      <c r="B22" s="544" t="s">
        <v>8</v>
      </c>
      <c r="C22" s="55" t="s">
        <v>8</v>
      </c>
      <c r="D22" s="55" t="s">
        <v>8</v>
      </c>
      <c r="E22" s="56" t="s">
        <v>8</v>
      </c>
      <c r="F22" s="55" t="s">
        <v>8</v>
      </c>
      <c r="G22" s="543" t="s">
        <v>8</v>
      </c>
      <c r="H22" s="55" t="s">
        <v>8</v>
      </c>
      <c r="I22" s="55" t="s">
        <v>8</v>
      </c>
      <c r="J22" s="55" t="s">
        <v>8</v>
      </c>
    </row>
    <row r="23" spans="1:10" ht="15.75" thickTop="1">
      <c r="A23" s="55" t="s">
        <v>8</v>
      </c>
      <c r="B23" s="566" t="s">
        <v>8</v>
      </c>
      <c r="C23" s="552" t="s">
        <v>8</v>
      </c>
      <c r="D23" s="557" t="s">
        <v>52</v>
      </c>
      <c r="E23" s="567" t="s">
        <v>8</v>
      </c>
      <c r="F23" s="552" t="s">
        <v>8</v>
      </c>
      <c r="G23" s="568" t="s">
        <v>8</v>
      </c>
      <c r="H23" s="539" t="s">
        <v>8</v>
      </c>
      <c r="I23" s="55" t="s">
        <v>8</v>
      </c>
      <c r="J23" s="55" t="s">
        <v>8</v>
      </c>
    </row>
    <row r="24" spans="1:10">
      <c r="A24" s="55" t="s">
        <v>8</v>
      </c>
      <c r="B24" s="553" t="s">
        <v>8</v>
      </c>
      <c r="C24" s="555" t="s">
        <v>8</v>
      </c>
      <c r="D24" s="555" t="s">
        <v>8</v>
      </c>
      <c r="E24" s="559" t="s">
        <v>8</v>
      </c>
      <c r="F24" s="555" t="s">
        <v>8</v>
      </c>
      <c r="G24" s="561" t="s">
        <v>8</v>
      </c>
      <c r="H24" s="547" t="s">
        <v>8</v>
      </c>
      <c r="I24" s="55" t="s">
        <v>8</v>
      </c>
      <c r="J24" s="55" t="s">
        <v>8</v>
      </c>
    </row>
    <row r="25" spans="1:10">
      <c r="A25" s="55" t="s">
        <v>8</v>
      </c>
      <c r="B25" s="553" t="s">
        <v>8</v>
      </c>
      <c r="C25" s="555" t="s">
        <v>8</v>
      </c>
      <c r="D25" s="555" t="s">
        <v>8</v>
      </c>
      <c r="E25" s="559" t="s">
        <v>8</v>
      </c>
      <c r="F25" s="555" t="s">
        <v>8</v>
      </c>
      <c r="G25" s="561" t="s">
        <v>8</v>
      </c>
      <c r="H25" s="547" t="s">
        <v>8</v>
      </c>
      <c r="I25" s="55" t="s">
        <v>8</v>
      </c>
      <c r="J25" s="55" t="s">
        <v>8</v>
      </c>
    </row>
    <row r="26" spans="1:10" ht="15.75" thickBot="1">
      <c r="A26" s="55" t="s">
        <v>8</v>
      </c>
      <c r="B26" s="554" t="s">
        <v>8</v>
      </c>
      <c r="C26" s="556" t="s">
        <v>8</v>
      </c>
      <c r="D26" s="558" t="s">
        <v>51</v>
      </c>
      <c r="E26" s="560">
        <f>SUM($E$24:$E$25)</f>
        <v>0</v>
      </c>
      <c r="F26" s="556" t="s">
        <v>8</v>
      </c>
      <c r="G26" s="562" t="s">
        <v>8</v>
      </c>
      <c r="H26" s="542" t="s">
        <v>8</v>
      </c>
      <c r="I26" s="55" t="s">
        <v>8</v>
      </c>
      <c r="J26" s="55" t="s">
        <v>8</v>
      </c>
    </row>
    <row r="27" spans="1:10" ht="15.75" thickTop="1">
      <c r="A27" s="55" t="s">
        <v>8</v>
      </c>
      <c r="B27" s="544" t="s">
        <v>8</v>
      </c>
      <c r="C27" s="55" t="s">
        <v>8</v>
      </c>
      <c r="D27" s="55" t="s">
        <v>8</v>
      </c>
      <c r="E27" s="56" t="s">
        <v>8</v>
      </c>
      <c r="F27" s="55" t="s">
        <v>8</v>
      </c>
      <c r="G27" s="543" t="s">
        <v>8</v>
      </c>
      <c r="H27" s="55" t="s">
        <v>8</v>
      </c>
      <c r="I27" s="55" t="s">
        <v>8</v>
      </c>
      <c r="J27" s="55" t="s">
        <v>8</v>
      </c>
    </row>
    <row r="28" spans="1:10" ht="15.75" thickBot="1">
      <c r="A28" s="55" t="s">
        <v>8</v>
      </c>
      <c r="B28" s="544" t="s">
        <v>8</v>
      </c>
      <c r="C28" s="55" t="s">
        <v>8</v>
      </c>
      <c r="D28" s="55" t="s">
        <v>8</v>
      </c>
      <c r="E28" s="56" t="s">
        <v>8</v>
      </c>
      <c r="F28" s="55" t="s">
        <v>8</v>
      </c>
      <c r="G28" s="543" t="s">
        <v>8</v>
      </c>
      <c r="H28" s="55" t="s">
        <v>8</v>
      </c>
      <c r="I28" s="55" t="s">
        <v>8</v>
      </c>
      <c r="J28" s="55" t="s">
        <v>8</v>
      </c>
    </row>
    <row r="29" spans="1:10" ht="15.75" thickTop="1">
      <c r="A29" s="55" t="s">
        <v>8</v>
      </c>
      <c r="B29" s="566" t="s">
        <v>8</v>
      </c>
      <c r="C29" s="552" t="s">
        <v>8</v>
      </c>
      <c r="D29" s="557" t="s">
        <v>85</v>
      </c>
      <c r="E29" s="567" t="s">
        <v>8</v>
      </c>
      <c r="F29" s="552" t="s">
        <v>8</v>
      </c>
      <c r="G29" s="568" t="s">
        <v>8</v>
      </c>
      <c r="H29" s="539" t="s">
        <v>8</v>
      </c>
      <c r="I29" s="55" t="s">
        <v>8</v>
      </c>
      <c r="J29" s="55" t="s">
        <v>8</v>
      </c>
    </row>
    <row r="30" spans="1:10">
      <c r="A30" s="55" t="s">
        <v>8</v>
      </c>
      <c r="B30" s="553" t="s">
        <v>8</v>
      </c>
      <c r="C30" s="555" t="s">
        <v>8</v>
      </c>
      <c r="D30" s="555" t="s">
        <v>8</v>
      </c>
      <c r="E30" s="559" t="s">
        <v>8</v>
      </c>
      <c r="F30" s="555" t="s">
        <v>8</v>
      </c>
      <c r="G30" s="561" t="s">
        <v>8</v>
      </c>
      <c r="H30" s="547" t="s">
        <v>8</v>
      </c>
      <c r="I30" s="55" t="s">
        <v>8</v>
      </c>
      <c r="J30" s="55" t="s">
        <v>8</v>
      </c>
    </row>
    <row r="31" spans="1:10">
      <c r="A31" s="55" t="s">
        <v>8</v>
      </c>
      <c r="B31" s="553" t="s">
        <v>8</v>
      </c>
      <c r="C31" s="555" t="s">
        <v>8</v>
      </c>
      <c r="D31" s="555" t="s">
        <v>8</v>
      </c>
      <c r="E31" s="559" t="s">
        <v>8</v>
      </c>
      <c r="F31" s="555" t="s">
        <v>8</v>
      </c>
      <c r="G31" s="561" t="s">
        <v>8</v>
      </c>
      <c r="H31" s="547" t="s">
        <v>8</v>
      </c>
      <c r="I31" s="55" t="s">
        <v>8</v>
      </c>
      <c r="J31" s="55" t="s">
        <v>8</v>
      </c>
    </row>
    <row r="32" spans="1:10" ht="15.75" thickBot="1">
      <c r="A32" s="55" t="s">
        <v>8</v>
      </c>
      <c r="B32" s="554" t="s">
        <v>8</v>
      </c>
      <c r="C32" s="556" t="s">
        <v>8</v>
      </c>
      <c r="D32" s="558" t="s">
        <v>51</v>
      </c>
      <c r="E32" s="560">
        <f>SUM($E$30:$E$31)</f>
        <v>0</v>
      </c>
      <c r="F32" s="556" t="s">
        <v>8</v>
      </c>
      <c r="G32" s="562" t="s">
        <v>8</v>
      </c>
      <c r="H32" s="542" t="s">
        <v>8</v>
      </c>
      <c r="I32" s="55" t="s">
        <v>8</v>
      </c>
      <c r="J32" s="55" t="s">
        <v>8</v>
      </c>
    </row>
    <row r="33" spans="1:10" ht="15.75" thickTop="1">
      <c r="A33" s="55" t="s">
        <v>8</v>
      </c>
      <c r="B33" s="544" t="s">
        <v>8</v>
      </c>
      <c r="C33" s="55" t="s">
        <v>8</v>
      </c>
      <c r="D33" s="55" t="s">
        <v>8</v>
      </c>
      <c r="E33" s="56" t="s">
        <v>8</v>
      </c>
      <c r="F33" s="55" t="s">
        <v>8</v>
      </c>
      <c r="G33" s="543" t="s">
        <v>8</v>
      </c>
      <c r="H33" s="55" t="s">
        <v>8</v>
      </c>
      <c r="I33" s="55" t="s">
        <v>8</v>
      </c>
      <c r="J33" s="55" t="s">
        <v>8</v>
      </c>
    </row>
    <row r="34" spans="1:10" ht="15.75" thickBot="1">
      <c r="A34" s="55" t="s">
        <v>8</v>
      </c>
      <c r="B34" s="544" t="s">
        <v>8</v>
      </c>
      <c r="C34" s="55" t="s">
        <v>8</v>
      </c>
      <c r="D34" s="55" t="s">
        <v>8</v>
      </c>
      <c r="E34" s="56" t="s">
        <v>8</v>
      </c>
      <c r="F34" s="55" t="s">
        <v>8</v>
      </c>
      <c r="G34" s="543" t="s">
        <v>8</v>
      </c>
      <c r="H34" s="55" t="s">
        <v>8</v>
      </c>
      <c r="I34" s="55" t="s">
        <v>8</v>
      </c>
      <c r="J34" s="55" t="s">
        <v>8</v>
      </c>
    </row>
    <row r="35" spans="1:10" ht="15.75" thickTop="1">
      <c r="A35" s="55" t="s">
        <v>8</v>
      </c>
      <c r="B35" s="566" t="s">
        <v>8</v>
      </c>
      <c r="C35" s="552" t="s">
        <v>8</v>
      </c>
      <c r="D35" s="557" t="s">
        <v>95</v>
      </c>
      <c r="E35" s="567" t="s">
        <v>8</v>
      </c>
      <c r="F35" s="552" t="s">
        <v>8</v>
      </c>
      <c r="G35" s="568" t="s">
        <v>8</v>
      </c>
      <c r="H35" s="539" t="s">
        <v>8</v>
      </c>
      <c r="I35" s="55" t="s">
        <v>8</v>
      </c>
      <c r="J35" s="55" t="s">
        <v>8</v>
      </c>
    </row>
    <row r="36" spans="1:10">
      <c r="A36" s="55" t="s">
        <v>8</v>
      </c>
      <c r="B36" s="553" t="s">
        <v>8</v>
      </c>
      <c r="C36" s="555" t="s">
        <v>8</v>
      </c>
      <c r="D36" s="555" t="s">
        <v>8</v>
      </c>
      <c r="E36" s="559" t="s">
        <v>8</v>
      </c>
      <c r="F36" s="555" t="s">
        <v>8</v>
      </c>
      <c r="G36" s="561" t="s">
        <v>8</v>
      </c>
      <c r="H36" s="547" t="s">
        <v>8</v>
      </c>
      <c r="I36" s="55" t="s">
        <v>8</v>
      </c>
      <c r="J36" s="55" t="s">
        <v>8</v>
      </c>
    </row>
    <row r="37" spans="1:10">
      <c r="A37" s="55" t="s">
        <v>8</v>
      </c>
      <c r="B37" s="553" t="s">
        <v>8</v>
      </c>
      <c r="C37" s="555" t="s">
        <v>8</v>
      </c>
      <c r="D37" s="555" t="s">
        <v>8</v>
      </c>
      <c r="E37" s="559" t="s">
        <v>8</v>
      </c>
      <c r="F37" s="555" t="s">
        <v>8</v>
      </c>
      <c r="G37" s="561" t="s">
        <v>8</v>
      </c>
      <c r="H37" s="547" t="s">
        <v>8</v>
      </c>
      <c r="I37" s="55" t="s">
        <v>8</v>
      </c>
      <c r="J37" s="55" t="s">
        <v>8</v>
      </c>
    </row>
    <row r="38" spans="1:10" ht="15.75" thickBot="1">
      <c r="A38" s="55" t="s">
        <v>8</v>
      </c>
      <c r="B38" s="554" t="s">
        <v>8</v>
      </c>
      <c r="C38" s="556" t="s">
        <v>8</v>
      </c>
      <c r="D38" s="558" t="s">
        <v>51</v>
      </c>
      <c r="E38" s="560">
        <f>SUM($E$36:$E$37)</f>
        <v>0</v>
      </c>
      <c r="F38" s="556" t="s">
        <v>8</v>
      </c>
      <c r="G38" s="562" t="s">
        <v>8</v>
      </c>
      <c r="H38" s="542" t="s">
        <v>8</v>
      </c>
      <c r="I38" s="55" t="s">
        <v>8</v>
      </c>
      <c r="J38" s="55" t="s">
        <v>8</v>
      </c>
    </row>
    <row r="39" spans="1:10" ht="16.5" thickTop="1" thickBot="1">
      <c r="A39" s="55" t="s">
        <v>8</v>
      </c>
      <c r="B39" s="544" t="s">
        <v>8</v>
      </c>
      <c r="C39" s="55" t="s">
        <v>8</v>
      </c>
      <c r="D39" s="55" t="s">
        <v>8</v>
      </c>
      <c r="E39" s="56" t="s">
        <v>8</v>
      </c>
      <c r="F39" s="55" t="s">
        <v>8</v>
      </c>
      <c r="G39" s="543" t="s">
        <v>8</v>
      </c>
      <c r="H39" s="55" t="s">
        <v>8</v>
      </c>
      <c r="I39" s="55" t="s">
        <v>8</v>
      </c>
      <c r="J39" s="55" t="s">
        <v>8</v>
      </c>
    </row>
    <row r="40" spans="1:10" ht="15.75" thickTop="1">
      <c r="A40" s="55" t="s">
        <v>8</v>
      </c>
      <c r="B40" s="563" t="s">
        <v>8</v>
      </c>
      <c r="C40" s="538" t="s">
        <v>8</v>
      </c>
      <c r="D40" s="538" t="s">
        <v>8</v>
      </c>
      <c r="E40" s="564" t="s">
        <v>8</v>
      </c>
      <c r="F40" s="538" t="s">
        <v>8</v>
      </c>
      <c r="G40" s="565" t="s">
        <v>8</v>
      </c>
      <c r="H40" s="539" t="s">
        <v>8</v>
      </c>
      <c r="I40" s="55" t="s">
        <v>8</v>
      </c>
      <c r="J40" s="55" t="s">
        <v>8</v>
      </c>
    </row>
    <row r="41" spans="1:10">
      <c r="A41" s="55" t="s">
        <v>8</v>
      </c>
      <c r="B41" s="546" t="s">
        <v>8</v>
      </c>
      <c r="C41" s="1997" t="s">
        <v>8</v>
      </c>
      <c r="D41" s="1999" t="s">
        <v>114</v>
      </c>
      <c r="E41" s="1998">
        <f>ABS(E13+$E$20-$E$38+$E$26-$E$32)</f>
        <v>0</v>
      </c>
      <c r="F41" s="1997" t="s">
        <v>8</v>
      </c>
      <c r="G41" s="2001" t="s">
        <v>8</v>
      </c>
      <c r="H41" s="547" t="s">
        <v>8</v>
      </c>
      <c r="I41" s="55" t="s">
        <v>8</v>
      </c>
      <c r="J41" s="55" t="s">
        <v>8</v>
      </c>
    </row>
    <row r="42" spans="1:10">
      <c r="A42" s="55" t="s">
        <v>8</v>
      </c>
      <c r="B42" s="546" t="s">
        <v>8</v>
      </c>
      <c r="C42" s="1997" t="s">
        <v>8</v>
      </c>
      <c r="D42" s="1999" t="s">
        <v>115</v>
      </c>
      <c r="E42" s="1998">
        <v>0</v>
      </c>
      <c r="F42" s="1997" t="s">
        <v>8</v>
      </c>
      <c r="G42" s="2001" t="s">
        <v>8</v>
      </c>
      <c r="H42" s="547" t="s">
        <v>8</v>
      </c>
      <c r="I42" s="55" t="s">
        <v>116</v>
      </c>
      <c r="J42" s="55" t="s">
        <v>8</v>
      </c>
    </row>
    <row r="43" spans="1:10" ht="15.75" thickBot="1">
      <c r="A43" s="55" t="s">
        <v>8</v>
      </c>
      <c r="B43" s="548" t="s">
        <v>8</v>
      </c>
      <c r="C43" s="541" t="s">
        <v>8</v>
      </c>
      <c r="D43" s="549" t="s">
        <v>117</v>
      </c>
      <c r="E43" s="550">
        <f>$E$42-$E$41</f>
        <v>0</v>
      </c>
      <c r="F43" s="541" t="s">
        <v>8</v>
      </c>
      <c r="G43" s="551" t="s">
        <v>8</v>
      </c>
      <c r="H43" s="542" t="s">
        <v>8</v>
      </c>
      <c r="I43" s="55" t="s">
        <v>8</v>
      </c>
      <c r="J43" s="55" t="s">
        <v>8</v>
      </c>
    </row>
    <row r="44" spans="1:10" ht="16.5" thickTop="1" thickBot="1">
      <c r="A44" s="55" t="s">
        <v>8</v>
      </c>
      <c r="B44" s="544" t="s">
        <v>8</v>
      </c>
      <c r="C44" s="55" t="s">
        <v>8</v>
      </c>
      <c r="D44" s="55" t="s">
        <v>8</v>
      </c>
      <c r="E44" s="56" t="s">
        <v>8</v>
      </c>
      <c r="F44" s="55" t="s">
        <v>8</v>
      </c>
      <c r="G44" s="543" t="s">
        <v>8</v>
      </c>
      <c r="H44" s="55" t="s">
        <v>8</v>
      </c>
      <c r="I44" s="55" t="s">
        <v>8</v>
      </c>
      <c r="J44" s="55" t="s">
        <v>8</v>
      </c>
    </row>
    <row r="45" spans="1:10" ht="15.75" thickTop="1">
      <c r="A45" s="55" t="s">
        <v>8</v>
      </c>
      <c r="B45" s="563" t="s">
        <v>8</v>
      </c>
      <c r="C45" s="538" t="s">
        <v>8</v>
      </c>
      <c r="D45" s="545" t="s">
        <v>118</v>
      </c>
      <c r="E45" s="569" t="s">
        <v>119</v>
      </c>
      <c r="F45" s="545" t="s">
        <v>120</v>
      </c>
      <c r="G45" s="565">
        <v>45981</v>
      </c>
      <c r="H45" s="539" t="s">
        <v>8</v>
      </c>
      <c r="I45" s="55" t="s">
        <v>8</v>
      </c>
      <c r="J45" s="55" t="s">
        <v>8</v>
      </c>
    </row>
    <row r="46" spans="1:10">
      <c r="A46" s="55" t="s">
        <v>8</v>
      </c>
      <c r="B46" s="546" t="s">
        <v>8</v>
      </c>
      <c r="C46" s="1997" t="s">
        <v>8</v>
      </c>
      <c r="D46" s="1997" t="s">
        <v>8</v>
      </c>
      <c r="E46" s="2000" t="s">
        <v>8</v>
      </c>
      <c r="F46" s="1997" t="s">
        <v>8</v>
      </c>
      <c r="G46" s="2001" t="s">
        <v>8</v>
      </c>
      <c r="H46" s="547" t="s">
        <v>8</v>
      </c>
      <c r="I46" s="55" t="s">
        <v>8</v>
      </c>
      <c r="J46" s="55" t="s">
        <v>8</v>
      </c>
    </row>
    <row r="47" spans="1:10">
      <c r="A47" s="55" t="s">
        <v>8</v>
      </c>
      <c r="B47" s="546" t="s">
        <v>8</v>
      </c>
      <c r="C47" s="1997" t="s">
        <v>8</v>
      </c>
      <c r="D47" s="1997" t="s">
        <v>8</v>
      </c>
      <c r="E47" s="2000" t="s">
        <v>8</v>
      </c>
      <c r="F47" s="1997" t="s">
        <v>8</v>
      </c>
      <c r="G47" s="2001" t="s">
        <v>8</v>
      </c>
      <c r="H47" s="547" t="s">
        <v>8</v>
      </c>
      <c r="I47" s="55" t="s">
        <v>8</v>
      </c>
      <c r="J47" s="55" t="s">
        <v>8</v>
      </c>
    </row>
    <row r="48" spans="1:10">
      <c r="A48" s="55" t="s">
        <v>8</v>
      </c>
      <c r="B48" s="546" t="s">
        <v>8</v>
      </c>
      <c r="C48" s="1997" t="s">
        <v>8</v>
      </c>
      <c r="D48" s="1999" t="s">
        <v>121</v>
      </c>
      <c r="E48" s="1998" t="s">
        <v>8</v>
      </c>
      <c r="F48" s="1999" t="s">
        <v>120</v>
      </c>
      <c r="G48" s="2001" t="s">
        <v>8</v>
      </c>
      <c r="H48" s="547" t="s">
        <v>8</v>
      </c>
      <c r="I48" s="55" t="s">
        <v>8</v>
      </c>
      <c r="J48" s="55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topLeftCell="A12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31.1406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12</v>
      </c>
      <c r="J1" s="60" t="s">
        <v>13</v>
      </c>
    </row>
    <row r="2" spans="1:10">
      <c r="A2" s="58" t="s">
        <v>8</v>
      </c>
      <c r="B2" s="58" t="s">
        <v>8</v>
      </c>
      <c r="C2" s="58" t="s">
        <v>8</v>
      </c>
      <c r="D2" s="58" t="s">
        <v>8</v>
      </c>
      <c r="E2" s="58" t="s">
        <v>8</v>
      </c>
      <c r="F2" s="58" t="s">
        <v>8</v>
      </c>
      <c r="G2" s="58" t="s">
        <v>8</v>
      </c>
      <c r="H2" s="58" t="s">
        <v>8</v>
      </c>
      <c r="I2" s="58" t="s">
        <v>8</v>
      </c>
      <c r="J2" s="58" t="s">
        <v>8</v>
      </c>
    </row>
    <row r="3" spans="1:10" ht="15.75" thickBot="1">
      <c r="A3" s="58" t="s">
        <v>8</v>
      </c>
      <c r="B3" s="58" t="s">
        <v>8</v>
      </c>
      <c r="C3" s="58" t="s">
        <v>8</v>
      </c>
      <c r="D3" s="58" t="s">
        <v>8</v>
      </c>
      <c r="E3" s="58" t="s">
        <v>8</v>
      </c>
      <c r="F3" s="58" t="s">
        <v>8</v>
      </c>
      <c r="G3" s="58" t="s">
        <v>8</v>
      </c>
      <c r="H3" s="58" t="s">
        <v>8</v>
      </c>
      <c r="I3" s="58" t="s">
        <v>8</v>
      </c>
      <c r="J3" s="58" t="s">
        <v>8</v>
      </c>
    </row>
    <row r="4" spans="1:10" ht="16.5" thickTop="1" thickBot="1">
      <c r="A4" s="58" t="s">
        <v>8</v>
      </c>
      <c r="B4" s="58" t="s">
        <v>14</v>
      </c>
      <c r="C4" s="58" t="s">
        <v>8</v>
      </c>
      <c r="D4" s="571" t="s">
        <v>15</v>
      </c>
      <c r="E4" s="58" t="s">
        <v>16</v>
      </c>
      <c r="F4" s="571" t="s">
        <v>171</v>
      </c>
      <c r="G4" s="58" t="s">
        <v>8</v>
      </c>
      <c r="H4" s="58" t="s">
        <v>8</v>
      </c>
      <c r="I4" s="58" t="s">
        <v>8</v>
      </c>
      <c r="J4" s="58" t="s">
        <v>8</v>
      </c>
    </row>
    <row r="5" spans="1:10" ht="16.5" thickTop="1" thickBot="1">
      <c r="A5" s="58" t="s">
        <v>8</v>
      </c>
      <c r="B5" s="58" t="s">
        <v>8</v>
      </c>
      <c r="C5" s="58" t="s">
        <v>8</v>
      </c>
      <c r="D5" s="58" t="s">
        <v>8</v>
      </c>
      <c r="E5" s="58" t="s">
        <v>8</v>
      </c>
      <c r="F5" s="58" t="s">
        <v>8</v>
      </c>
      <c r="G5" s="58" t="s">
        <v>8</v>
      </c>
      <c r="H5" s="58" t="s">
        <v>8</v>
      </c>
      <c r="I5" s="58" t="s">
        <v>8</v>
      </c>
      <c r="J5" s="58" t="s">
        <v>8</v>
      </c>
    </row>
    <row r="6" spans="1:10" ht="16.5" thickTop="1" thickBot="1">
      <c r="A6" s="58" t="s">
        <v>8</v>
      </c>
      <c r="B6" s="58" t="s">
        <v>18</v>
      </c>
      <c r="C6" s="58" t="s">
        <v>8</v>
      </c>
      <c r="D6" s="571" t="s">
        <v>19</v>
      </c>
      <c r="E6" s="58" t="s">
        <v>20</v>
      </c>
      <c r="F6" s="571" t="s">
        <v>172</v>
      </c>
      <c r="G6" s="58" t="s">
        <v>8</v>
      </c>
      <c r="H6" s="58" t="s">
        <v>8</v>
      </c>
      <c r="I6" s="58" t="s">
        <v>8</v>
      </c>
      <c r="J6" s="58" t="s">
        <v>8</v>
      </c>
    </row>
    <row r="7" spans="1:10" ht="16.5" thickTop="1" thickBot="1">
      <c r="A7" s="58" t="s">
        <v>8</v>
      </c>
      <c r="B7" s="58" t="s">
        <v>8</v>
      </c>
      <c r="C7" s="58" t="s">
        <v>8</v>
      </c>
      <c r="D7" s="58" t="s">
        <v>8</v>
      </c>
      <c r="E7" s="58" t="s">
        <v>8</v>
      </c>
      <c r="F7" s="58" t="s">
        <v>8</v>
      </c>
      <c r="G7" s="58" t="s">
        <v>8</v>
      </c>
      <c r="H7" s="58" t="s">
        <v>8</v>
      </c>
      <c r="I7" s="58" t="s">
        <v>8</v>
      </c>
      <c r="J7" s="58" t="s">
        <v>8</v>
      </c>
    </row>
    <row r="8" spans="1:10" ht="16.5" thickTop="1" thickBot="1">
      <c r="A8" s="58" t="s">
        <v>8</v>
      </c>
      <c r="B8" s="58" t="s">
        <v>22</v>
      </c>
      <c r="C8" s="58" t="s">
        <v>8</v>
      </c>
      <c r="D8" s="571" t="s">
        <v>11</v>
      </c>
      <c r="E8" s="58" t="s">
        <v>23</v>
      </c>
      <c r="F8" s="571" t="s">
        <v>173</v>
      </c>
      <c r="G8" s="58" t="s">
        <v>8</v>
      </c>
      <c r="H8" s="58" t="s">
        <v>8</v>
      </c>
      <c r="I8" s="58" t="s">
        <v>8</v>
      </c>
      <c r="J8" s="58" t="s">
        <v>8</v>
      </c>
    </row>
    <row r="9" spans="1:10" ht="16.5" thickTop="1" thickBot="1">
      <c r="A9" s="58" t="s">
        <v>8</v>
      </c>
      <c r="B9" s="58" t="s">
        <v>8</v>
      </c>
      <c r="C9" s="58" t="s">
        <v>8</v>
      </c>
      <c r="D9" s="58" t="s">
        <v>8</v>
      </c>
      <c r="E9" s="58" t="s">
        <v>8</v>
      </c>
      <c r="F9" s="58" t="s">
        <v>8</v>
      </c>
      <c r="G9" s="58" t="s">
        <v>8</v>
      </c>
      <c r="H9" s="58" t="s">
        <v>8</v>
      </c>
      <c r="I9" s="58" t="s">
        <v>8</v>
      </c>
      <c r="J9" s="58" t="s">
        <v>8</v>
      </c>
    </row>
    <row r="10" spans="1:10" ht="16.5" thickTop="1" thickBot="1">
      <c r="A10" s="58" t="s">
        <v>8</v>
      </c>
      <c r="B10" s="58" t="s">
        <v>25</v>
      </c>
      <c r="C10" s="58" t="s">
        <v>8</v>
      </c>
      <c r="D10" s="571" t="s">
        <v>26</v>
      </c>
      <c r="E10" s="58" t="s">
        <v>8</v>
      </c>
      <c r="F10" s="58" t="s">
        <v>8</v>
      </c>
      <c r="G10" s="58" t="s">
        <v>8</v>
      </c>
      <c r="H10" s="58" t="s">
        <v>8</v>
      </c>
      <c r="I10" s="58" t="s">
        <v>8</v>
      </c>
      <c r="J10" s="58" t="s">
        <v>8</v>
      </c>
    </row>
    <row r="11" spans="1:10" ht="16.5" thickTop="1" thickBot="1">
      <c r="A11" s="58" t="s">
        <v>8</v>
      </c>
      <c r="B11" s="58" t="s">
        <v>8</v>
      </c>
      <c r="C11" s="58" t="s">
        <v>8</v>
      </c>
      <c r="D11" s="58" t="s">
        <v>8</v>
      </c>
      <c r="E11" s="58" t="s">
        <v>8</v>
      </c>
      <c r="F11" s="58" t="s">
        <v>8</v>
      </c>
      <c r="G11" s="58" t="s">
        <v>8</v>
      </c>
      <c r="H11" s="58" t="s">
        <v>8</v>
      </c>
      <c r="I11" s="58" t="s">
        <v>8</v>
      </c>
      <c r="J11" s="58" t="s">
        <v>8</v>
      </c>
    </row>
    <row r="12" spans="1:10" ht="16.5" thickTop="1" thickBot="1">
      <c r="A12" s="58" t="s">
        <v>8</v>
      </c>
      <c r="B12" s="572" t="s">
        <v>8</v>
      </c>
      <c r="C12" s="573" t="s">
        <v>8</v>
      </c>
      <c r="D12" s="573" t="s">
        <v>8</v>
      </c>
      <c r="E12" s="573" t="s">
        <v>8</v>
      </c>
      <c r="F12" s="573" t="s">
        <v>8</v>
      </c>
      <c r="G12" s="573" t="s">
        <v>8</v>
      </c>
      <c r="H12" s="574" t="s">
        <v>8</v>
      </c>
      <c r="I12" s="58" t="s">
        <v>8</v>
      </c>
      <c r="J12" s="58" t="s">
        <v>8</v>
      </c>
    </row>
    <row r="13" spans="1:10" ht="16.5" thickTop="1" thickBot="1">
      <c r="A13" s="58" t="s">
        <v>8</v>
      </c>
      <c r="B13" s="575" t="s">
        <v>8</v>
      </c>
      <c r="C13" s="570" t="s">
        <v>48</v>
      </c>
      <c r="D13" s="576" t="s">
        <v>28</v>
      </c>
      <c r="E13" s="585">
        <v>6801989</v>
      </c>
      <c r="F13" s="576" t="s">
        <v>8</v>
      </c>
      <c r="G13" s="576" t="s">
        <v>8</v>
      </c>
      <c r="H13" s="577" t="s">
        <v>8</v>
      </c>
      <c r="I13" s="58" t="s">
        <v>29</v>
      </c>
      <c r="J13" s="58" t="s">
        <v>8</v>
      </c>
    </row>
    <row r="14" spans="1:10" ht="16.5" thickTop="1" thickBot="1">
      <c r="A14" s="58" t="s">
        <v>8</v>
      </c>
      <c r="B14" s="58" t="s">
        <v>8</v>
      </c>
      <c r="C14" s="58" t="s">
        <v>8</v>
      </c>
      <c r="D14" s="58" t="s">
        <v>8</v>
      </c>
      <c r="E14" s="58" t="s">
        <v>8</v>
      </c>
      <c r="F14" s="58" t="s">
        <v>8</v>
      </c>
      <c r="G14" s="58" t="s">
        <v>8</v>
      </c>
      <c r="H14" s="58" t="s">
        <v>8</v>
      </c>
      <c r="I14" s="58" t="s">
        <v>8</v>
      </c>
      <c r="J14" s="58" t="s">
        <v>8</v>
      </c>
    </row>
    <row r="15" spans="1:10" ht="16.5" thickTop="1" thickBot="1">
      <c r="A15" s="58" t="s">
        <v>8</v>
      </c>
      <c r="B15" s="571" t="s">
        <v>30</v>
      </c>
      <c r="C15" s="570" t="s">
        <v>31</v>
      </c>
      <c r="D15" s="570" t="s">
        <v>32</v>
      </c>
      <c r="E15" s="570" t="s">
        <v>33</v>
      </c>
      <c r="F15" s="570" t="s">
        <v>34</v>
      </c>
      <c r="G15" s="570" t="s">
        <v>35</v>
      </c>
      <c r="H15" s="570" t="s">
        <v>36</v>
      </c>
      <c r="I15" s="58" t="s">
        <v>8</v>
      </c>
      <c r="J15" s="58" t="s">
        <v>8</v>
      </c>
    </row>
    <row r="16" spans="1:10" ht="16.5" thickTop="1" thickBot="1">
      <c r="A16" s="58" t="s">
        <v>8</v>
      </c>
      <c r="B16" s="58" t="s">
        <v>8</v>
      </c>
      <c r="C16" s="58" t="s">
        <v>8</v>
      </c>
      <c r="D16" s="58" t="s">
        <v>8</v>
      </c>
      <c r="E16" s="58" t="s">
        <v>8</v>
      </c>
      <c r="F16" s="58" t="s">
        <v>8</v>
      </c>
      <c r="G16" s="58" t="s">
        <v>8</v>
      </c>
      <c r="H16" s="58" t="s">
        <v>8</v>
      </c>
      <c r="I16" s="58" t="s">
        <v>8</v>
      </c>
      <c r="J16" s="58" t="s">
        <v>8</v>
      </c>
    </row>
    <row r="17" spans="1:10" ht="15.75" thickTop="1">
      <c r="A17" s="58" t="s">
        <v>8</v>
      </c>
      <c r="B17" s="587" t="s">
        <v>8</v>
      </c>
      <c r="C17" s="587" t="s">
        <v>8</v>
      </c>
      <c r="D17" s="592" t="s">
        <v>37</v>
      </c>
      <c r="E17" s="587" t="s">
        <v>8</v>
      </c>
      <c r="F17" s="587" t="s">
        <v>8</v>
      </c>
      <c r="G17" s="587" t="s">
        <v>8</v>
      </c>
      <c r="H17" s="574" t="s">
        <v>8</v>
      </c>
      <c r="I17" s="58" t="s">
        <v>8</v>
      </c>
      <c r="J17" s="58" t="s">
        <v>8</v>
      </c>
    </row>
    <row r="18" spans="1:10">
      <c r="A18" s="58" t="s">
        <v>8</v>
      </c>
      <c r="B18" s="588" t="s">
        <v>8</v>
      </c>
      <c r="C18" s="590" t="s">
        <v>8</v>
      </c>
      <c r="D18" s="590" t="s">
        <v>8</v>
      </c>
      <c r="E18" s="594" t="s">
        <v>8</v>
      </c>
      <c r="F18" s="590" t="s">
        <v>8</v>
      </c>
      <c r="G18" s="596" t="s">
        <v>8</v>
      </c>
      <c r="H18" s="582" t="s">
        <v>8</v>
      </c>
      <c r="I18" s="58" t="s">
        <v>8</v>
      </c>
      <c r="J18" s="58" t="s">
        <v>8</v>
      </c>
    </row>
    <row r="19" spans="1:10">
      <c r="A19" s="58" t="s">
        <v>8</v>
      </c>
      <c r="B19" s="588" t="s">
        <v>8</v>
      </c>
      <c r="C19" s="590" t="s">
        <v>8</v>
      </c>
      <c r="D19" s="590" t="s">
        <v>8</v>
      </c>
      <c r="E19" s="594" t="s">
        <v>8</v>
      </c>
      <c r="F19" s="590" t="s">
        <v>8</v>
      </c>
      <c r="G19" s="596" t="s">
        <v>8</v>
      </c>
      <c r="H19" s="582" t="s">
        <v>8</v>
      </c>
      <c r="I19" s="58" t="s">
        <v>8</v>
      </c>
      <c r="J19" s="58" t="s">
        <v>8</v>
      </c>
    </row>
    <row r="20" spans="1:10" ht="15.75" thickBot="1">
      <c r="A20" s="58" t="s">
        <v>8</v>
      </c>
      <c r="B20" s="589" t="s">
        <v>8</v>
      </c>
      <c r="C20" s="591" t="s">
        <v>8</v>
      </c>
      <c r="D20" s="593" t="s">
        <v>51</v>
      </c>
      <c r="E20" s="595">
        <f>SUM($E$18:$E$19)</f>
        <v>0</v>
      </c>
      <c r="F20" s="591" t="s">
        <v>8</v>
      </c>
      <c r="G20" s="597" t="s">
        <v>8</v>
      </c>
      <c r="H20" s="577" t="s">
        <v>8</v>
      </c>
      <c r="I20" s="58" t="s">
        <v>8</v>
      </c>
      <c r="J20" s="58" t="s">
        <v>8</v>
      </c>
    </row>
    <row r="21" spans="1:10" ht="15.75" thickTop="1">
      <c r="A21" s="58" t="s">
        <v>8</v>
      </c>
      <c r="B21" s="579" t="s">
        <v>8</v>
      </c>
      <c r="C21" s="58" t="s">
        <v>8</v>
      </c>
      <c r="D21" s="58" t="s">
        <v>8</v>
      </c>
      <c r="E21" s="59" t="s">
        <v>8</v>
      </c>
      <c r="F21" s="58" t="s">
        <v>8</v>
      </c>
      <c r="G21" s="578" t="s">
        <v>8</v>
      </c>
      <c r="H21" s="58" t="s">
        <v>8</v>
      </c>
      <c r="I21" s="58" t="s">
        <v>8</v>
      </c>
      <c r="J21" s="58" t="s">
        <v>8</v>
      </c>
    </row>
    <row r="22" spans="1:10" ht="15.75" thickBot="1">
      <c r="A22" s="58" t="s">
        <v>8</v>
      </c>
      <c r="B22" s="579" t="s">
        <v>8</v>
      </c>
      <c r="C22" s="58" t="s">
        <v>8</v>
      </c>
      <c r="D22" s="58" t="s">
        <v>8</v>
      </c>
      <c r="E22" s="59" t="s">
        <v>8</v>
      </c>
      <c r="F22" s="58" t="s">
        <v>8</v>
      </c>
      <c r="G22" s="578" t="s">
        <v>8</v>
      </c>
      <c r="H22" s="58" t="s">
        <v>8</v>
      </c>
      <c r="I22" s="58" t="s">
        <v>8</v>
      </c>
      <c r="J22" s="58" t="s">
        <v>8</v>
      </c>
    </row>
    <row r="23" spans="1:10" ht="15.75" thickTop="1">
      <c r="A23" s="58" t="s">
        <v>8</v>
      </c>
      <c r="B23" s="601" t="s">
        <v>8</v>
      </c>
      <c r="C23" s="587" t="s">
        <v>8</v>
      </c>
      <c r="D23" s="592" t="s">
        <v>52</v>
      </c>
      <c r="E23" s="602" t="s">
        <v>8</v>
      </c>
      <c r="F23" s="587" t="s">
        <v>8</v>
      </c>
      <c r="G23" s="603" t="s">
        <v>8</v>
      </c>
      <c r="H23" s="574" t="s">
        <v>8</v>
      </c>
      <c r="I23" s="58" t="s">
        <v>8</v>
      </c>
      <c r="J23" s="58" t="s">
        <v>8</v>
      </c>
    </row>
    <row r="24" spans="1:10">
      <c r="A24" s="58" t="s">
        <v>8</v>
      </c>
      <c r="B24" s="588" t="s">
        <v>8</v>
      </c>
      <c r="C24" s="590" t="s">
        <v>8</v>
      </c>
      <c r="D24" s="590" t="s">
        <v>8</v>
      </c>
      <c r="E24" s="594" t="s">
        <v>8</v>
      </c>
      <c r="F24" s="590" t="s">
        <v>8</v>
      </c>
      <c r="G24" s="596" t="s">
        <v>8</v>
      </c>
      <c r="H24" s="582" t="s">
        <v>8</v>
      </c>
      <c r="I24" s="58" t="s">
        <v>8</v>
      </c>
      <c r="J24" s="58" t="s">
        <v>8</v>
      </c>
    </row>
    <row r="25" spans="1:10">
      <c r="A25" s="58" t="s">
        <v>8</v>
      </c>
      <c r="B25" s="588" t="s">
        <v>8</v>
      </c>
      <c r="C25" s="590" t="s">
        <v>8</v>
      </c>
      <c r="D25" s="590" t="s">
        <v>8</v>
      </c>
      <c r="E25" s="594" t="s">
        <v>8</v>
      </c>
      <c r="F25" s="590" t="s">
        <v>8</v>
      </c>
      <c r="G25" s="596" t="s">
        <v>8</v>
      </c>
      <c r="H25" s="582" t="s">
        <v>8</v>
      </c>
      <c r="I25" s="58" t="s">
        <v>8</v>
      </c>
      <c r="J25" s="58" t="s">
        <v>8</v>
      </c>
    </row>
    <row r="26" spans="1:10" ht="15.75" thickBot="1">
      <c r="A26" s="58" t="s">
        <v>8</v>
      </c>
      <c r="B26" s="589" t="s">
        <v>8</v>
      </c>
      <c r="C26" s="591" t="s">
        <v>8</v>
      </c>
      <c r="D26" s="593" t="s">
        <v>51</v>
      </c>
      <c r="E26" s="595">
        <f>SUM($E$24:$E$25)</f>
        <v>0</v>
      </c>
      <c r="F26" s="591" t="s">
        <v>8</v>
      </c>
      <c r="G26" s="597" t="s">
        <v>8</v>
      </c>
      <c r="H26" s="577" t="s">
        <v>8</v>
      </c>
      <c r="I26" s="58" t="s">
        <v>8</v>
      </c>
      <c r="J26" s="58" t="s">
        <v>8</v>
      </c>
    </row>
    <row r="27" spans="1:10" ht="15.75" thickTop="1">
      <c r="A27" s="58" t="s">
        <v>8</v>
      </c>
      <c r="B27" s="579" t="s">
        <v>8</v>
      </c>
      <c r="C27" s="58" t="s">
        <v>8</v>
      </c>
      <c r="D27" s="58" t="s">
        <v>8</v>
      </c>
      <c r="E27" s="59" t="s">
        <v>8</v>
      </c>
      <c r="F27" s="58" t="s">
        <v>8</v>
      </c>
      <c r="G27" s="578" t="s">
        <v>8</v>
      </c>
      <c r="H27" s="58" t="s">
        <v>8</v>
      </c>
      <c r="I27" s="58" t="s">
        <v>8</v>
      </c>
      <c r="J27" s="58" t="s">
        <v>8</v>
      </c>
    </row>
    <row r="28" spans="1:10" ht="15.75" thickBot="1">
      <c r="A28" s="58" t="s">
        <v>8</v>
      </c>
      <c r="B28" s="579" t="s">
        <v>8</v>
      </c>
      <c r="C28" s="58" t="s">
        <v>8</v>
      </c>
      <c r="D28" s="58" t="s">
        <v>8</v>
      </c>
      <c r="E28" s="59" t="s">
        <v>8</v>
      </c>
      <c r="F28" s="58" t="s">
        <v>8</v>
      </c>
      <c r="G28" s="578" t="s">
        <v>8</v>
      </c>
      <c r="H28" s="58" t="s">
        <v>8</v>
      </c>
      <c r="I28" s="58" t="s">
        <v>8</v>
      </c>
      <c r="J28" s="58" t="s">
        <v>8</v>
      </c>
    </row>
    <row r="29" spans="1:10" ht="15.75" thickTop="1">
      <c r="A29" s="58" t="s">
        <v>8</v>
      </c>
      <c r="B29" s="601" t="s">
        <v>8</v>
      </c>
      <c r="C29" s="587" t="s">
        <v>8</v>
      </c>
      <c r="D29" s="592" t="s">
        <v>85</v>
      </c>
      <c r="E29" s="602" t="s">
        <v>8</v>
      </c>
      <c r="F29" s="587" t="s">
        <v>8</v>
      </c>
      <c r="G29" s="603" t="s">
        <v>8</v>
      </c>
      <c r="H29" s="574" t="s">
        <v>8</v>
      </c>
      <c r="I29" s="58" t="s">
        <v>8</v>
      </c>
      <c r="J29" s="58" t="s">
        <v>8</v>
      </c>
    </row>
    <row r="30" spans="1:10">
      <c r="A30" s="58" t="s">
        <v>8</v>
      </c>
      <c r="B30" s="588" t="s">
        <v>8</v>
      </c>
      <c r="C30" s="590" t="s">
        <v>8</v>
      </c>
      <c r="D30" s="590" t="s">
        <v>8</v>
      </c>
      <c r="E30" s="594" t="s">
        <v>8</v>
      </c>
      <c r="F30" s="590" t="s">
        <v>8</v>
      </c>
      <c r="G30" s="596" t="s">
        <v>8</v>
      </c>
      <c r="H30" s="582" t="s">
        <v>8</v>
      </c>
      <c r="I30" s="58" t="s">
        <v>8</v>
      </c>
      <c r="J30" s="58" t="s">
        <v>8</v>
      </c>
    </row>
    <row r="31" spans="1:10">
      <c r="A31" s="58" t="s">
        <v>8</v>
      </c>
      <c r="B31" s="588" t="s">
        <v>8</v>
      </c>
      <c r="C31" s="590" t="s">
        <v>8</v>
      </c>
      <c r="D31" s="590" t="s">
        <v>8</v>
      </c>
      <c r="E31" s="594" t="s">
        <v>8</v>
      </c>
      <c r="F31" s="590" t="s">
        <v>8</v>
      </c>
      <c r="G31" s="596" t="s">
        <v>8</v>
      </c>
      <c r="H31" s="582" t="s">
        <v>8</v>
      </c>
      <c r="I31" s="58" t="s">
        <v>8</v>
      </c>
      <c r="J31" s="58" t="s">
        <v>8</v>
      </c>
    </row>
    <row r="32" spans="1:10" ht="15.75" thickBot="1">
      <c r="A32" s="58" t="s">
        <v>8</v>
      </c>
      <c r="B32" s="589" t="s">
        <v>8</v>
      </c>
      <c r="C32" s="591" t="s">
        <v>8</v>
      </c>
      <c r="D32" s="593" t="s">
        <v>51</v>
      </c>
      <c r="E32" s="595">
        <f>SUM($E$30:$E$31)</f>
        <v>0</v>
      </c>
      <c r="F32" s="591" t="s">
        <v>8</v>
      </c>
      <c r="G32" s="597" t="s">
        <v>8</v>
      </c>
      <c r="H32" s="577" t="s">
        <v>8</v>
      </c>
      <c r="I32" s="58" t="s">
        <v>8</v>
      </c>
      <c r="J32" s="58" t="s">
        <v>8</v>
      </c>
    </row>
    <row r="33" spans="1:10" ht="15.75" thickTop="1">
      <c r="A33" s="58" t="s">
        <v>8</v>
      </c>
      <c r="B33" s="579" t="s">
        <v>8</v>
      </c>
      <c r="C33" s="58" t="s">
        <v>8</v>
      </c>
      <c r="D33" s="58" t="s">
        <v>8</v>
      </c>
      <c r="E33" s="59" t="s">
        <v>8</v>
      </c>
      <c r="F33" s="58" t="s">
        <v>8</v>
      </c>
      <c r="G33" s="578" t="s">
        <v>8</v>
      </c>
      <c r="H33" s="58" t="s">
        <v>8</v>
      </c>
      <c r="I33" s="58" t="s">
        <v>8</v>
      </c>
      <c r="J33" s="58" t="s">
        <v>8</v>
      </c>
    </row>
    <row r="34" spans="1:10" ht="15.75" thickBot="1">
      <c r="A34" s="58" t="s">
        <v>8</v>
      </c>
      <c r="B34" s="579" t="s">
        <v>8</v>
      </c>
      <c r="C34" s="58" t="s">
        <v>8</v>
      </c>
      <c r="D34" s="58" t="s">
        <v>8</v>
      </c>
      <c r="E34" s="59" t="s">
        <v>8</v>
      </c>
      <c r="F34" s="58" t="s">
        <v>8</v>
      </c>
      <c r="G34" s="578" t="s">
        <v>8</v>
      </c>
      <c r="H34" s="58" t="s">
        <v>8</v>
      </c>
      <c r="I34" s="58" t="s">
        <v>8</v>
      </c>
      <c r="J34" s="58" t="s">
        <v>8</v>
      </c>
    </row>
    <row r="35" spans="1:10" ht="15.75" thickTop="1">
      <c r="A35" s="58" t="s">
        <v>8</v>
      </c>
      <c r="B35" s="601" t="s">
        <v>8</v>
      </c>
      <c r="C35" s="587" t="s">
        <v>8</v>
      </c>
      <c r="D35" s="592" t="s">
        <v>95</v>
      </c>
      <c r="E35" s="602" t="s">
        <v>8</v>
      </c>
      <c r="F35" s="587" t="s">
        <v>8</v>
      </c>
      <c r="G35" s="603" t="s">
        <v>8</v>
      </c>
      <c r="H35" s="574" t="s">
        <v>8</v>
      </c>
      <c r="I35" s="58" t="s">
        <v>8</v>
      </c>
      <c r="J35" s="58" t="s">
        <v>8</v>
      </c>
    </row>
    <row r="36" spans="1:10">
      <c r="A36" s="58" t="s">
        <v>8</v>
      </c>
      <c r="B36" s="588" t="s">
        <v>8</v>
      </c>
      <c r="C36" s="590" t="s">
        <v>8</v>
      </c>
      <c r="D36" s="590" t="s">
        <v>8</v>
      </c>
      <c r="E36" s="594" t="s">
        <v>8</v>
      </c>
      <c r="F36" s="590" t="s">
        <v>8</v>
      </c>
      <c r="G36" s="596" t="s">
        <v>8</v>
      </c>
      <c r="H36" s="582" t="s">
        <v>8</v>
      </c>
      <c r="I36" s="58" t="s">
        <v>8</v>
      </c>
      <c r="J36" s="58" t="s">
        <v>8</v>
      </c>
    </row>
    <row r="37" spans="1:10">
      <c r="A37" s="58" t="s">
        <v>8</v>
      </c>
      <c r="B37" s="588" t="s">
        <v>8</v>
      </c>
      <c r="C37" s="590" t="s">
        <v>8</v>
      </c>
      <c r="D37" s="590" t="s">
        <v>8</v>
      </c>
      <c r="E37" s="594" t="s">
        <v>8</v>
      </c>
      <c r="F37" s="590" t="s">
        <v>8</v>
      </c>
      <c r="G37" s="596" t="s">
        <v>8</v>
      </c>
      <c r="H37" s="582" t="s">
        <v>8</v>
      </c>
      <c r="I37" s="58" t="s">
        <v>8</v>
      </c>
      <c r="J37" s="58" t="s">
        <v>8</v>
      </c>
    </row>
    <row r="38" spans="1:10" ht="15.75" thickBot="1">
      <c r="A38" s="58" t="s">
        <v>8</v>
      </c>
      <c r="B38" s="589" t="s">
        <v>8</v>
      </c>
      <c r="C38" s="591" t="s">
        <v>8</v>
      </c>
      <c r="D38" s="593" t="s">
        <v>51</v>
      </c>
      <c r="E38" s="595">
        <f>SUM($E$36:$E$37)</f>
        <v>0</v>
      </c>
      <c r="F38" s="591" t="s">
        <v>8</v>
      </c>
      <c r="G38" s="597" t="s">
        <v>8</v>
      </c>
      <c r="H38" s="577" t="s">
        <v>8</v>
      </c>
      <c r="I38" s="58" t="s">
        <v>8</v>
      </c>
      <c r="J38" s="58" t="s">
        <v>8</v>
      </c>
    </row>
    <row r="39" spans="1:10" ht="16.5" thickTop="1" thickBot="1">
      <c r="A39" s="58" t="s">
        <v>8</v>
      </c>
      <c r="B39" s="579" t="s">
        <v>8</v>
      </c>
      <c r="C39" s="58" t="s">
        <v>8</v>
      </c>
      <c r="D39" s="58" t="s">
        <v>8</v>
      </c>
      <c r="E39" s="59" t="s">
        <v>8</v>
      </c>
      <c r="F39" s="58" t="s">
        <v>8</v>
      </c>
      <c r="G39" s="578" t="s">
        <v>8</v>
      </c>
      <c r="H39" s="58" t="s">
        <v>8</v>
      </c>
      <c r="I39" s="58" t="s">
        <v>8</v>
      </c>
      <c r="J39" s="58" t="s">
        <v>8</v>
      </c>
    </row>
    <row r="40" spans="1:10" ht="15.75" thickTop="1">
      <c r="A40" s="58" t="s">
        <v>8</v>
      </c>
      <c r="B40" s="598" t="s">
        <v>8</v>
      </c>
      <c r="C40" s="573" t="s">
        <v>8</v>
      </c>
      <c r="D40" s="573" t="s">
        <v>8</v>
      </c>
      <c r="E40" s="599" t="s">
        <v>8</v>
      </c>
      <c r="F40" s="573" t="s">
        <v>8</v>
      </c>
      <c r="G40" s="600" t="s">
        <v>8</v>
      </c>
      <c r="H40" s="574" t="s">
        <v>8</v>
      </c>
      <c r="I40" s="58" t="s">
        <v>8</v>
      </c>
      <c r="J40" s="58" t="s">
        <v>8</v>
      </c>
    </row>
    <row r="41" spans="1:10">
      <c r="A41" s="58" t="s">
        <v>8</v>
      </c>
      <c r="B41" s="581" t="s">
        <v>8</v>
      </c>
      <c r="C41" s="2002" t="s">
        <v>8</v>
      </c>
      <c r="D41" s="2004" t="s">
        <v>114</v>
      </c>
      <c r="E41" s="2003">
        <f>ABS(E13+$E$20-$E$38+$E$26-$E$32)</f>
        <v>6801989</v>
      </c>
      <c r="F41" s="2002" t="s">
        <v>8</v>
      </c>
      <c r="G41" s="2006" t="s">
        <v>8</v>
      </c>
      <c r="H41" s="582" t="s">
        <v>8</v>
      </c>
      <c r="I41" s="58" t="s">
        <v>8</v>
      </c>
      <c r="J41" s="58" t="s">
        <v>8</v>
      </c>
    </row>
    <row r="42" spans="1:10">
      <c r="A42" s="58" t="s">
        <v>8</v>
      </c>
      <c r="B42" s="581" t="s">
        <v>8</v>
      </c>
      <c r="C42" s="2002" t="s">
        <v>8</v>
      </c>
      <c r="D42" s="2004" t="s">
        <v>115</v>
      </c>
      <c r="E42" s="2003">
        <v>6801989</v>
      </c>
      <c r="F42" s="2002" t="s">
        <v>8</v>
      </c>
      <c r="G42" s="2006" t="s">
        <v>8</v>
      </c>
      <c r="H42" s="582" t="s">
        <v>8</v>
      </c>
      <c r="I42" s="58" t="s">
        <v>116</v>
      </c>
      <c r="J42" s="58" t="s">
        <v>8</v>
      </c>
    </row>
    <row r="43" spans="1:10" ht="15.75" thickBot="1">
      <c r="A43" s="58" t="s">
        <v>8</v>
      </c>
      <c r="B43" s="583" t="s">
        <v>8</v>
      </c>
      <c r="C43" s="576" t="s">
        <v>8</v>
      </c>
      <c r="D43" s="584" t="s">
        <v>117</v>
      </c>
      <c r="E43" s="585">
        <f>$E$42-$E$41</f>
        <v>0</v>
      </c>
      <c r="F43" s="576" t="s">
        <v>8</v>
      </c>
      <c r="G43" s="586" t="s">
        <v>8</v>
      </c>
      <c r="H43" s="577" t="s">
        <v>8</v>
      </c>
      <c r="I43" s="58" t="s">
        <v>8</v>
      </c>
      <c r="J43" s="58" t="s">
        <v>8</v>
      </c>
    </row>
    <row r="44" spans="1:10" ht="16.5" thickTop="1" thickBot="1">
      <c r="A44" s="58" t="s">
        <v>8</v>
      </c>
      <c r="B44" s="579" t="s">
        <v>8</v>
      </c>
      <c r="C44" s="58" t="s">
        <v>8</v>
      </c>
      <c r="D44" s="58" t="s">
        <v>8</v>
      </c>
      <c r="E44" s="59" t="s">
        <v>8</v>
      </c>
      <c r="F44" s="58" t="s">
        <v>8</v>
      </c>
      <c r="G44" s="578" t="s">
        <v>8</v>
      </c>
      <c r="H44" s="58" t="s">
        <v>8</v>
      </c>
      <c r="I44" s="58" t="s">
        <v>8</v>
      </c>
      <c r="J44" s="58" t="s">
        <v>8</v>
      </c>
    </row>
    <row r="45" spans="1:10" ht="15.75" thickTop="1">
      <c r="A45" s="58" t="s">
        <v>8</v>
      </c>
      <c r="B45" s="598" t="s">
        <v>8</v>
      </c>
      <c r="C45" s="573" t="s">
        <v>8</v>
      </c>
      <c r="D45" s="580" t="s">
        <v>118</v>
      </c>
      <c r="E45" s="604" t="s">
        <v>119</v>
      </c>
      <c r="F45" s="580" t="s">
        <v>120</v>
      </c>
      <c r="G45" s="600">
        <v>45981</v>
      </c>
      <c r="H45" s="574" t="s">
        <v>8</v>
      </c>
      <c r="I45" s="58" t="s">
        <v>8</v>
      </c>
      <c r="J45" s="58" t="s">
        <v>8</v>
      </c>
    </row>
    <row r="46" spans="1:10">
      <c r="A46" s="58" t="s">
        <v>8</v>
      </c>
      <c r="B46" s="581" t="s">
        <v>8</v>
      </c>
      <c r="C46" s="2002" t="s">
        <v>8</v>
      </c>
      <c r="D46" s="2002" t="s">
        <v>8</v>
      </c>
      <c r="E46" s="2005" t="s">
        <v>8</v>
      </c>
      <c r="F46" s="2002" t="s">
        <v>8</v>
      </c>
      <c r="G46" s="2006" t="s">
        <v>8</v>
      </c>
      <c r="H46" s="582" t="s">
        <v>8</v>
      </c>
      <c r="I46" s="58" t="s">
        <v>8</v>
      </c>
      <c r="J46" s="58" t="s">
        <v>8</v>
      </c>
    </row>
    <row r="47" spans="1:10">
      <c r="A47" s="58" t="s">
        <v>8</v>
      </c>
      <c r="B47" s="581" t="s">
        <v>8</v>
      </c>
      <c r="C47" s="2002" t="s">
        <v>8</v>
      </c>
      <c r="D47" s="2002" t="s">
        <v>8</v>
      </c>
      <c r="E47" s="2005" t="s">
        <v>8</v>
      </c>
      <c r="F47" s="2002" t="s">
        <v>8</v>
      </c>
      <c r="G47" s="2006" t="s">
        <v>8</v>
      </c>
      <c r="H47" s="582" t="s">
        <v>8</v>
      </c>
      <c r="I47" s="58" t="s">
        <v>8</v>
      </c>
      <c r="J47" s="58" t="s">
        <v>8</v>
      </c>
    </row>
    <row r="48" spans="1:10">
      <c r="A48" s="58" t="s">
        <v>8</v>
      </c>
      <c r="B48" s="581" t="s">
        <v>8</v>
      </c>
      <c r="C48" s="2002" t="s">
        <v>8</v>
      </c>
      <c r="D48" s="2004" t="s">
        <v>121</v>
      </c>
      <c r="E48" s="2003" t="s">
        <v>8</v>
      </c>
      <c r="F48" s="2004" t="s">
        <v>120</v>
      </c>
      <c r="G48" s="2006" t="s">
        <v>8</v>
      </c>
      <c r="H48" s="582" t="s">
        <v>8</v>
      </c>
      <c r="I48" s="58" t="s">
        <v>8</v>
      </c>
      <c r="J48" s="58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31.1406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12</v>
      </c>
      <c r="J1" s="63" t="s">
        <v>13</v>
      </c>
    </row>
    <row r="2" spans="1:10">
      <c r="A2" s="61" t="s">
        <v>8</v>
      </c>
      <c r="B2" s="61" t="s">
        <v>8</v>
      </c>
      <c r="C2" s="61" t="s">
        <v>8</v>
      </c>
      <c r="D2" s="61" t="s">
        <v>8</v>
      </c>
      <c r="E2" s="61" t="s">
        <v>8</v>
      </c>
      <c r="F2" s="61" t="s">
        <v>8</v>
      </c>
      <c r="G2" s="61" t="s">
        <v>8</v>
      </c>
      <c r="H2" s="61" t="s">
        <v>8</v>
      </c>
      <c r="I2" s="61" t="s">
        <v>8</v>
      </c>
      <c r="J2" s="61" t="s">
        <v>8</v>
      </c>
    </row>
    <row r="3" spans="1:10" ht="15.75" thickBot="1">
      <c r="A3" s="61" t="s">
        <v>8</v>
      </c>
      <c r="B3" s="61" t="s">
        <v>8</v>
      </c>
      <c r="C3" s="61" t="s">
        <v>8</v>
      </c>
      <c r="D3" s="61" t="s">
        <v>8</v>
      </c>
      <c r="E3" s="61" t="s">
        <v>8</v>
      </c>
      <c r="F3" s="61" t="s">
        <v>8</v>
      </c>
      <c r="G3" s="61" t="s">
        <v>8</v>
      </c>
      <c r="H3" s="61" t="s">
        <v>8</v>
      </c>
      <c r="I3" s="61" t="s">
        <v>8</v>
      </c>
      <c r="J3" s="61" t="s">
        <v>8</v>
      </c>
    </row>
    <row r="4" spans="1:10" ht="16.5" thickTop="1" thickBot="1">
      <c r="A4" s="61" t="s">
        <v>8</v>
      </c>
      <c r="B4" s="61" t="s">
        <v>14</v>
      </c>
      <c r="C4" s="61" t="s">
        <v>8</v>
      </c>
      <c r="D4" s="606" t="s">
        <v>15</v>
      </c>
      <c r="E4" s="61" t="s">
        <v>16</v>
      </c>
      <c r="F4" s="606" t="s">
        <v>174</v>
      </c>
      <c r="G4" s="61" t="s">
        <v>8</v>
      </c>
      <c r="H4" s="61" t="s">
        <v>8</v>
      </c>
      <c r="I4" s="61" t="s">
        <v>8</v>
      </c>
      <c r="J4" s="61" t="s">
        <v>8</v>
      </c>
    </row>
    <row r="5" spans="1:10" ht="16.5" thickTop="1" thickBot="1">
      <c r="A5" s="61" t="s">
        <v>8</v>
      </c>
      <c r="B5" s="61" t="s">
        <v>8</v>
      </c>
      <c r="C5" s="61" t="s">
        <v>8</v>
      </c>
      <c r="D5" s="61" t="s">
        <v>8</v>
      </c>
      <c r="E5" s="61" t="s">
        <v>8</v>
      </c>
      <c r="F5" s="61" t="s">
        <v>8</v>
      </c>
      <c r="G5" s="61" t="s">
        <v>8</v>
      </c>
      <c r="H5" s="61" t="s">
        <v>8</v>
      </c>
      <c r="I5" s="61" t="s">
        <v>8</v>
      </c>
      <c r="J5" s="61" t="s">
        <v>8</v>
      </c>
    </row>
    <row r="6" spans="1:10" ht="16.5" thickTop="1" thickBot="1">
      <c r="A6" s="61" t="s">
        <v>8</v>
      </c>
      <c r="B6" s="61" t="s">
        <v>18</v>
      </c>
      <c r="C6" s="61" t="s">
        <v>8</v>
      </c>
      <c r="D6" s="606" t="s">
        <v>19</v>
      </c>
      <c r="E6" s="61" t="s">
        <v>20</v>
      </c>
      <c r="F6" s="606" t="s">
        <v>175</v>
      </c>
      <c r="G6" s="61" t="s">
        <v>8</v>
      </c>
      <c r="H6" s="61" t="s">
        <v>8</v>
      </c>
      <c r="I6" s="61" t="s">
        <v>8</v>
      </c>
      <c r="J6" s="61" t="s">
        <v>8</v>
      </c>
    </row>
    <row r="7" spans="1:10" ht="16.5" thickTop="1" thickBot="1">
      <c r="A7" s="61" t="s">
        <v>8</v>
      </c>
      <c r="B7" s="61" t="s">
        <v>8</v>
      </c>
      <c r="C7" s="61" t="s">
        <v>8</v>
      </c>
      <c r="D7" s="61" t="s">
        <v>8</v>
      </c>
      <c r="E7" s="61" t="s">
        <v>8</v>
      </c>
      <c r="F7" s="61" t="s">
        <v>8</v>
      </c>
      <c r="G7" s="61" t="s">
        <v>8</v>
      </c>
      <c r="H7" s="61" t="s">
        <v>8</v>
      </c>
      <c r="I7" s="61" t="s">
        <v>8</v>
      </c>
      <c r="J7" s="61" t="s">
        <v>8</v>
      </c>
    </row>
    <row r="8" spans="1:10" ht="16.5" thickTop="1" thickBot="1">
      <c r="A8" s="61" t="s">
        <v>8</v>
      </c>
      <c r="B8" s="61" t="s">
        <v>22</v>
      </c>
      <c r="C8" s="61" t="s">
        <v>8</v>
      </c>
      <c r="D8" s="606" t="s">
        <v>11</v>
      </c>
      <c r="E8" s="61" t="s">
        <v>23</v>
      </c>
      <c r="F8" s="606" t="s">
        <v>176</v>
      </c>
      <c r="G8" s="61" t="s">
        <v>8</v>
      </c>
      <c r="H8" s="61" t="s">
        <v>8</v>
      </c>
      <c r="I8" s="61" t="s">
        <v>8</v>
      </c>
      <c r="J8" s="61" t="s">
        <v>8</v>
      </c>
    </row>
    <row r="9" spans="1:10" ht="16.5" thickTop="1" thickBot="1">
      <c r="A9" s="61" t="s">
        <v>8</v>
      </c>
      <c r="B9" s="61" t="s">
        <v>8</v>
      </c>
      <c r="C9" s="61" t="s">
        <v>8</v>
      </c>
      <c r="D9" s="61" t="s">
        <v>8</v>
      </c>
      <c r="E9" s="61" t="s">
        <v>8</v>
      </c>
      <c r="F9" s="61" t="s">
        <v>8</v>
      </c>
      <c r="G9" s="61" t="s">
        <v>8</v>
      </c>
      <c r="H9" s="61" t="s">
        <v>8</v>
      </c>
      <c r="I9" s="61" t="s">
        <v>8</v>
      </c>
      <c r="J9" s="61" t="s">
        <v>8</v>
      </c>
    </row>
    <row r="10" spans="1:10" ht="16.5" thickTop="1" thickBot="1">
      <c r="A10" s="61" t="s">
        <v>8</v>
      </c>
      <c r="B10" s="61" t="s">
        <v>25</v>
      </c>
      <c r="C10" s="61" t="s">
        <v>8</v>
      </c>
      <c r="D10" s="606" t="s">
        <v>26</v>
      </c>
      <c r="E10" s="61" t="s">
        <v>8</v>
      </c>
      <c r="F10" s="61" t="s">
        <v>8</v>
      </c>
      <c r="G10" s="61" t="s">
        <v>8</v>
      </c>
      <c r="H10" s="61" t="s">
        <v>8</v>
      </c>
      <c r="I10" s="61" t="s">
        <v>8</v>
      </c>
      <c r="J10" s="61" t="s">
        <v>8</v>
      </c>
    </row>
    <row r="11" spans="1:10" ht="16.5" thickTop="1" thickBot="1">
      <c r="A11" s="61" t="s">
        <v>8</v>
      </c>
      <c r="B11" s="61" t="s">
        <v>8</v>
      </c>
      <c r="C11" s="61" t="s">
        <v>8</v>
      </c>
      <c r="D11" s="61" t="s">
        <v>8</v>
      </c>
      <c r="E11" s="61" t="s">
        <v>8</v>
      </c>
      <c r="F11" s="61" t="s">
        <v>8</v>
      </c>
      <c r="G11" s="61" t="s">
        <v>8</v>
      </c>
      <c r="H11" s="61" t="s">
        <v>8</v>
      </c>
      <c r="I11" s="61" t="s">
        <v>8</v>
      </c>
      <c r="J11" s="61" t="s">
        <v>8</v>
      </c>
    </row>
    <row r="12" spans="1:10" ht="16.5" thickTop="1" thickBot="1">
      <c r="A12" s="61" t="s">
        <v>8</v>
      </c>
      <c r="B12" s="607" t="s">
        <v>8</v>
      </c>
      <c r="C12" s="608" t="s">
        <v>8</v>
      </c>
      <c r="D12" s="608" t="s">
        <v>8</v>
      </c>
      <c r="E12" s="608" t="s">
        <v>8</v>
      </c>
      <c r="F12" s="608" t="s">
        <v>8</v>
      </c>
      <c r="G12" s="608" t="s">
        <v>8</v>
      </c>
      <c r="H12" s="609" t="s">
        <v>8</v>
      </c>
      <c r="I12" s="61" t="s">
        <v>8</v>
      </c>
      <c r="J12" s="61" t="s">
        <v>8</v>
      </c>
    </row>
    <row r="13" spans="1:10" ht="16.5" thickTop="1" thickBot="1">
      <c r="A13" s="61" t="s">
        <v>8</v>
      </c>
      <c r="B13" s="610" t="s">
        <v>8</v>
      </c>
      <c r="C13" s="605" t="s">
        <v>177</v>
      </c>
      <c r="D13" s="611" t="s">
        <v>28</v>
      </c>
      <c r="E13" s="620">
        <v>72200</v>
      </c>
      <c r="F13" s="611" t="s">
        <v>8</v>
      </c>
      <c r="G13" s="611" t="s">
        <v>8</v>
      </c>
      <c r="H13" s="612" t="s">
        <v>8</v>
      </c>
      <c r="I13" s="61" t="s">
        <v>29</v>
      </c>
      <c r="J13" s="61" t="s">
        <v>8</v>
      </c>
    </row>
    <row r="14" spans="1:10" ht="16.5" thickTop="1" thickBot="1">
      <c r="A14" s="61" t="s">
        <v>8</v>
      </c>
      <c r="B14" s="61" t="s">
        <v>8</v>
      </c>
      <c r="C14" s="61" t="s">
        <v>8</v>
      </c>
      <c r="D14" s="61" t="s">
        <v>8</v>
      </c>
      <c r="E14" s="61" t="s">
        <v>8</v>
      </c>
      <c r="F14" s="61" t="s">
        <v>8</v>
      </c>
      <c r="G14" s="61" t="s">
        <v>8</v>
      </c>
      <c r="H14" s="61" t="s">
        <v>8</v>
      </c>
      <c r="I14" s="61" t="s">
        <v>8</v>
      </c>
      <c r="J14" s="61" t="s">
        <v>8</v>
      </c>
    </row>
    <row r="15" spans="1:10" ht="16.5" thickTop="1" thickBot="1">
      <c r="A15" s="61" t="s">
        <v>8</v>
      </c>
      <c r="B15" s="606" t="s">
        <v>30</v>
      </c>
      <c r="C15" s="605" t="s">
        <v>31</v>
      </c>
      <c r="D15" s="605" t="s">
        <v>32</v>
      </c>
      <c r="E15" s="605" t="s">
        <v>33</v>
      </c>
      <c r="F15" s="605" t="s">
        <v>34</v>
      </c>
      <c r="G15" s="605" t="s">
        <v>35</v>
      </c>
      <c r="H15" s="605" t="s">
        <v>36</v>
      </c>
      <c r="I15" s="61" t="s">
        <v>8</v>
      </c>
      <c r="J15" s="61" t="s">
        <v>8</v>
      </c>
    </row>
    <row r="16" spans="1:10" ht="16.5" thickTop="1" thickBot="1">
      <c r="A16" s="61" t="s">
        <v>8</v>
      </c>
      <c r="B16" s="61" t="s">
        <v>8</v>
      </c>
      <c r="C16" s="61" t="s">
        <v>8</v>
      </c>
      <c r="D16" s="61" t="s">
        <v>8</v>
      </c>
      <c r="E16" s="61" t="s">
        <v>8</v>
      </c>
      <c r="F16" s="61" t="s">
        <v>8</v>
      </c>
      <c r="G16" s="61" t="s">
        <v>8</v>
      </c>
      <c r="H16" s="61" t="s">
        <v>8</v>
      </c>
      <c r="I16" s="61" t="s">
        <v>8</v>
      </c>
      <c r="J16" s="61" t="s">
        <v>8</v>
      </c>
    </row>
    <row r="17" spans="1:10" ht="15.75" thickTop="1">
      <c r="A17" s="61" t="s">
        <v>8</v>
      </c>
      <c r="B17" s="622" t="s">
        <v>8</v>
      </c>
      <c r="C17" s="622" t="s">
        <v>8</v>
      </c>
      <c r="D17" s="627" t="s">
        <v>37</v>
      </c>
      <c r="E17" s="622" t="s">
        <v>8</v>
      </c>
      <c r="F17" s="622" t="s">
        <v>8</v>
      </c>
      <c r="G17" s="622" t="s">
        <v>8</v>
      </c>
      <c r="H17" s="609" t="s">
        <v>8</v>
      </c>
      <c r="I17" s="61" t="s">
        <v>8</v>
      </c>
      <c r="J17" s="61" t="s">
        <v>8</v>
      </c>
    </row>
    <row r="18" spans="1:10">
      <c r="A18" s="61" t="s">
        <v>8</v>
      </c>
      <c r="B18" s="623" t="s">
        <v>8</v>
      </c>
      <c r="C18" s="625" t="s">
        <v>8</v>
      </c>
      <c r="D18" s="625" t="s">
        <v>8</v>
      </c>
      <c r="E18" s="629" t="s">
        <v>8</v>
      </c>
      <c r="F18" s="625" t="s">
        <v>8</v>
      </c>
      <c r="G18" s="631" t="s">
        <v>8</v>
      </c>
      <c r="H18" s="617" t="s">
        <v>8</v>
      </c>
      <c r="I18" s="61" t="s">
        <v>8</v>
      </c>
      <c r="J18" s="61" t="s">
        <v>8</v>
      </c>
    </row>
    <row r="19" spans="1:10">
      <c r="A19" s="61" t="s">
        <v>8</v>
      </c>
      <c r="B19" s="623" t="s">
        <v>8</v>
      </c>
      <c r="C19" s="625" t="s">
        <v>8</v>
      </c>
      <c r="D19" s="625" t="s">
        <v>8</v>
      </c>
      <c r="E19" s="629" t="s">
        <v>8</v>
      </c>
      <c r="F19" s="625" t="s">
        <v>8</v>
      </c>
      <c r="G19" s="631" t="s">
        <v>8</v>
      </c>
      <c r="H19" s="617" t="s">
        <v>8</v>
      </c>
      <c r="I19" s="61" t="s">
        <v>8</v>
      </c>
      <c r="J19" s="61" t="s">
        <v>8</v>
      </c>
    </row>
    <row r="20" spans="1:10" ht="15.75" thickBot="1">
      <c r="A20" s="61" t="s">
        <v>8</v>
      </c>
      <c r="B20" s="624" t="s">
        <v>8</v>
      </c>
      <c r="C20" s="626" t="s">
        <v>8</v>
      </c>
      <c r="D20" s="628" t="s">
        <v>51</v>
      </c>
      <c r="E20" s="630">
        <f>SUM($E$18:$E$19)</f>
        <v>0</v>
      </c>
      <c r="F20" s="626" t="s">
        <v>8</v>
      </c>
      <c r="G20" s="632" t="s">
        <v>8</v>
      </c>
      <c r="H20" s="612" t="s">
        <v>8</v>
      </c>
      <c r="I20" s="61" t="s">
        <v>8</v>
      </c>
      <c r="J20" s="61" t="s">
        <v>8</v>
      </c>
    </row>
    <row r="21" spans="1:10" ht="15.75" thickTop="1">
      <c r="A21" s="61" t="s">
        <v>8</v>
      </c>
      <c r="B21" s="614" t="s">
        <v>8</v>
      </c>
      <c r="C21" s="61" t="s">
        <v>8</v>
      </c>
      <c r="D21" s="61" t="s">
        <v>8</v>
      </c>
      <c r="E21" s="62" t="s">
        <v>8</v>
      </c>
      <c r="F21" s="61" t="s">
        <v>8</v>
      </c>
      <c r="G21" s="613" t="s">
        <v>8</v>
      </c>
      <c r="H21" s="61" t="s">
        <v>8</v>
      </c>
      <c r="I21" s="61" t="s">
        <v>8</v>
      </c>
      <c r="J21" s="61" t="s">
        <v>8</v>
      </c>
    </row>
    <row r="22" spans="1:10" ht="15.75" thickBot="1">
      <c r="A22" s="61" t="s">
        <v>8</v>
      </c>
      <c r="B22" s="614" t="s">
        <v>8</v>
      </c>
      <c r="C22" s="61" t="s">
        <v>8</v>
      </c>
      <c r="D22" s="61" t="s">
        <v>8</v>
      </c>
      <c r="E22" s="62" t="s">
        <v>8</v>
      </c>
      <c r="F22" s="61" t="s">
        <v>8</v>
      </c>
      <c r="G22" s="613" t="s">
        <v>8</v>
      </c>
      <c r="H22" s="61" t="s">
        <v>8</v>
      </c>
      <c r="I22" s="61" t="s">
        <v>8</v>
      </c>
      <c r="J22" s="61" t="s">
        <v>8</v>
      </c>
    </row>
    <row r="23" spans="1:10" ht="15.75" thickTop="1">
      <c r="A23" s="61" t="s">
        <v>8</v>
      </c>
      <c r="B23" s="636" t="s">
        <v>8</v>
      </c>
      <c r="C23" s="622" t="s">
        <v>8</v>
      </c>
      <c r="D23" s="627" t="s">
        <v>52</v>
      </c>
      <c r="E23" s="637" t="s">
        <v>8</v>
      </c>
      <c r="F23" s="622" t="s">
        <v>8</v>
      </c>
      <c r="G23" s="638" t="s">
        <v>8</v>
      </c>
      <c r="H23" s="609" t="s">
        <v>8</v>
      </c>
      <c r="I23" s="61" t="s">
        <v>8</v>
      </c>
      <c r="J23" s="61" t="s">
        <v>8</v>
      </c>
    </row>
    <row r="24" spans="1:10">
      <c r="A24" s="61" t="s">
        <v>8</v>
      </c>
      <c r="B24" s="623" t="s">
        <v>8</v>
      </c>
      <c r="C24" s="625" t="s">
        <v>8</v>
      </c>
      <c r="D24" s="625" t="s">
        <v>8</v>
      </c>
      <c r="E24" s="629" t="s">
        <v>8</v>
      </c>
      <c r="F24" s="625" t="s">
        <v>8</v>
      </c>
      <c r="G24" s="631" t="s">
        <v>8</v>
      </c>
      <c r="H24" s="617" t="s">
        <v>8</v>
      </c>
      <c r="I24" s="61" t="s">
        <v>8</v>
      </c>
      <c r="J24" s="61" t="s">
        <v>8</v>
      </c>
    </row>
    <row r="25" spans="1:10">
      <c r="A25" s="61" t="s">
        <v>8</v>
      </c>
      <c r="B25" s="623" t="s">
        <v>8</v>
      </c>
      <c r="C25" s="625" t="s">
        <v>8</v>
      </c>
      <c r="D25" s="625" t="s">
        <v>8</v>
      </c>
      <c r="E25" s="629" t="s">
        <v>8</v>
      </c>
      <c r="F25" s="625" t="s">
        <v>8</v>
      </c>
      <c r="G25" s="631" t="s">
        <v>8</v>
      </c>
      <c r="H25" s="617" t="s">
        <v>8</v>
      </c>
      <c r="I25" s="61" t="s">
        <v>8</v>
      </c>
      <c r="J25" s="61" t="s">
        <v>8</v>
      </c>
    </row>
    <row r="26" spans="1:10" ht="15.75" thickBot="1">
      <c r="A26" s="61" t="s">
        <v>8</v>
      </c>
      <c r="B26" s="624" t="s">
        <v>8</v>
      </c>
      <c r="C26" s="626" t="s">
        <v>8</v>
      </c>
      <c r="D26" s="628" t="s">
        <v>51</v>
      </c>
      <c r="E26" s="630">
        <f>SUM($E$24:$E$25)</f>
        <v>0</v>
      </c>
      <c r="F26" s="626" t="s">
        <v>8</v>
      </c>
      <c r="G26" s="632" t="s">
        <v>8</v>
      </c>
      <c r="H26" s="612" t="s">
        <v>8</v>
      </c>
      <c r="I26" s="61" t="s">
        <v>8</v>
      </c>
      <c r="J26" s="61" t="s">
        <v>8</v>
      </c>
    </row>
    <row r="27" spans="1:10" ht="15.75" thickTop="1">
      <c r="A27" s="61" t="s">
        <v>8</v>
      </c>
      <c r="B27" s="614" t="s">
        <v>8</v>
      </c>
      <c r="C27" s="61" t="s">
        <v>8</v>
      </c>
      <c r="D27" s="61" t="s">
        <v>8</v>
      </c>
      <c r="E27" s="62" t="s">
        <v>8</v>
      </c>
      <c r="F27" s="61" t="s">
        <v>8</v>
      </c>
      <c r="G27" s="613" t="s">
        <v>8</v>
      </c>
      <c r="H27" s="61" t="s">
        <v>8</v>
      </c>
      <c r="I27" s="61" t="s">
        <v>8</v>
      </c>
      <c r="J27" s="61" t="s">
        <v>8</v>
      </c>
    </row>
    <row r="28" spans="1:10" ht="15.75" thickBot="1">
      <c r="A28" s="61" t="s">
        <v>8</v>
      </c>
      <c r="B28" s="614" t="s">
        <v>8</v>
      </c>
      <c r="C28" s="61" t="s">
        <v>8</v>
      </c>
      <c r="D28" s="61" t="s">
        <v>8</v>
      </c>
      <c r="E28" s="62" t="s">
        <v>8</v>
      </c>
      <c r="F28" s="61" t="s">
        <v>8</v>
      </c>
      <c r="G28" s="613" t="s">
        <v>8</v>
      </c>
      <c r="H28" s="61" t="s">
        <v>8</v>
      </c>
      <c r="I28" s="61" t="s">
        <v>8</v>
      </c>
      <c r="J28" s="61" t="s">
        <v>8</v>
      </c>
    </row>
    <row r="29" spans="1:10" ht="15.75" thickTop="1">
      <c r="A29" s="61" t="s">
        <v>8</v>
      </c>
      <c r="B29" s="636" t="s">
        <v>8</v>
      </c>
      <c r="C29" s="622" t="s">
        <v>8</v>
      </c>
      <c r="D29" s="627" t="s">
        <v>85</v>
      </c>
      <c r="E29" s="637" t="s">
        <v>8</v>
      </c>
      <c r="F29" s="622" t="s">
        <v>8</v>
      </c>
      <c r="G29" s="638" t="s">
        <v>8</v>
      </c>
      <c r="H29" s="609" t="s">
        <v>8</v>
      </c>
      <c r="I29" s="61" t="s">
        <v>8</v>
      </c>
      <c r="J29" s="61" t="s">
        <v>8</v>
      </c>
    </row>
    <row r="30" spans="1:10">
      <c r="A30" s="61" t="s">
        <v>8</v>
      </c>
      <c r="B30" s="623" t="s">
        <v>8</v>
      </c>
      <c r="C30" s="625" t="s">
        <v>8</v>
      </c>
      <c r="D30" s="625" t="s">
        <v>8</v>
      </c>
      <c r="E30" s="629" t="s">
        <v>8</v>
      </c>
      <c r="F30" s="625" t="s">
        <v>8</v>
      </c>
      <c r="G30" s="631" t="s">
        <v>8</v>
      </c>
      <c r="H30" s="617" t="s">
        <v>8</v>
      </c>
      <c r="I30" s="61" t="s">
        <v>8</v>
      </c>
      <c r="J30" s="61" t="s">
        <v>8</v>
      </c>
    </row>
    <row r="31" spans="1:10">
      <c r="A31" s="61" t="s">
        <v>8</v>
      </c>
      <c r="B31" s="623" t="s">
        <v>8</v>
      </c>
      <c r="C31" s="625" t="s">
        <v>8</v>
      </c>
      <c r="D31" s="625" t="s">
        <v>8</v>
      </c>
      <c r="E31" s="629" t="s">
        <v>8</v>
      </c>
      <c r="F31" s="625" t="s">
        <v>8</v>
      </c>
      <c r="G31" s="631" t="s">
        <v>8</v>
      </c>
      <c r="H31" s="617" t="s">
        <v>8</v>
      </c>
      <c r="I31" s="61" t="s">
        <v>8</v>
      </c>
      <c r="J31" s="61" t="s">
        <v>8</v>
      </c>
    </row>
    <row r="32" spans="1:10" ht="15.75" thickBot="1">
      <c r="A32" s="61" t="s">
        <v>8</v>
      </c>
      <c r="B32" s="624" t="s">
        <v>8</v>
      </c>
      <c r="C32" s="626" t="s">
        <v>8</v>
      </c>
      <c r="D32" s="628" t="s">
        <v>51</v>
      </c>
      <c r="E32" s="630">
        <f>SUM($E$30:$E$31)</f>
        <v>0</v>
      </c>
      <c r="F32" s="626" t="s">
        <v>8</v>
      </c>
      <c r="G32" s="632" t="s">
        <v>8</v>
      </c>
      <c r="H32" s="612" t="s">
        <v>8</v>
      </c>
      <c r="I32" s="61" t="s">
        <v>8</v>
      </c>
      <c r="J32" s="61" t="s">
        <v>8</v>
      </c>
    </row>
    <row r="33" spans="1:10" ht="15.75" thickTop="1">
      <c r="A33" s="61" t="s">
        <v>8</v>
      </c>
      <c r="B33" s="614" t="s">
        <v>8</v>
      </c>
      <c r="C33" s="61" t="s">
        <v>8</v>
      </c>
      <c r="D33" s="61" t="s">
        <v>8</v>
      </c>
      <c r="E33" s="62" t="s">
        <v>8</v>
      </c>
      <c r="F33" s="61" t="s">
        <v>8</v>
      </c>
      <c r="G33" s="613" t="s">
        <v>8</v>
      </c>
      <c r="H33" s="61" t="s">
        <v>8</v>
      </c>
      <c r="I33" s="61" t="s">
        <v>8</v>
      </c>
      <c r="J33" s="61" t="s">
        <v>8</v>
      </c>
    </row>
    <row r="34" spans="1:10" ht="15.75" thickBot="1">
      <c r="A34" s="61" t="s">
        <v>8</v>
      </c>
      <c r="B34" s="614" t="s">
        <v>8</v>
      </c>
      <c r="C34" s="61" t="s">
        <v>8</v>
      </c>
      <c r="D34" s="61" t="s">
        <v>8</v>
      </c>
      <c r="E34" s="62" t="s">
        <v>8</v>
      </c>
      <c r="F34" s="61" t="s">
        <v>8</v>
      </c>
      <c r="G34" s="613" t="s">
        <v>8</v>
      </c>
      <c r="H34" s="61" t="s">
        <v>8</v>
      </c>
      <c r="I34" s="61" t="s">
        <v>8</v>
      </c>
      <c r="J34" s="61" t="s">
        <v>8</v>
      </c>
    </row>
    <row r="35" spans="1:10" ht="15.75" thickTop="1">
      <c r="A35" s="61" t="s">
        <v>8</v>
      </c>
      <c r="B35" s="636" t="s">
        <v>8</v>
      </c>
      <c r="C35" s="622" t="s">
        <v>8</v>
      </c>
      <c r="D35" s="627" t="s">
        <v>95</v>
      </c>
      <c r="E35" s="637" t="s">
        <v>8</v>
      </c>
      <c r="F35" s="622" t="s">
        <v>8</v>
      </c>
      <c r="G35" s="638" t="s">
        <v>8</v>
      </c>
      <c r="H35" s="609" t="s">
        <v>8</v>
      </c>
      <c r="I35" s="61" t="s">
        <v>8</v>
      </c>
      <c r="J35" s="61" t="s">
        <v>8</v>
      </c>
    </row>
    <row r="36" spans="1:10">
      <c r="A36" s="61" t="s">
        <v>8</v>
      </c>
      <c r="B36" s="623" t="s">
        <v>8</v>
      </c>
      <c r="C36" s="625" t="s">
        <v>8</v>
      </c>
      <c r="D36" s="625" t="s">
        <v>8</v>
      </c>
      <c r="E36" s="629" t="s">
        <v>8</v>
      </c>
      <c r="F36" s="625" t="s">
        <v>8</v>
      </c>
      <c r="G36" s="631" t="s">
        <v>8</v>
      </c>
      <c r="H36" s="617" t="s">
        <v>8</v>
      </c>
      <c r="I36" s="61" t="s">
        <v>8</v>
      </c>
      <c r="J36" s="61" t="s">
        <v>8</v>
      </c>
    </row>
    <row r="37" spans="1:10">
      <c r="A37" s="61" t="s">
        <v>8</v>
      </c>
      <c r="B37" s="623" t="s">
        <v>8</v>
      </c>
      <c r="C37" s="625" t="s">
        <v>8</v>
      </c>
      <c r="D37" s="625" t="s">
        <v>8</v>
      </c>
      <c r="E37" s="629" t="s">
        <v>8</v>
      </c>
      <c r="F37" s="625" t="s">
        <v>8</v>
      </c>
      <c r="G37" s="631" t="s">
        <v>8</v>
      </c>
      <c r="H37" s="617" t="s">
        <v>8</v>
      </c>
      <c r="I37" s="61" t="s">
        <v>8</v>
      </c>
      <c r="J37" s="61" t="s">
        <v>8</v>
      </c>
    </row>
    <row r="38" spans="1:10" ht="15.75" thickBot="1">
      <c r="A38" s="61" t="s">
        <v>8</v>
      </c>
      <c r="B38" s="624" t="s">
        <v>8</v>
      </c>
      <c r="C38" s="626" t="s">
        <v>8</v>
      </c>
      <c r="D38" s="628" t="s">
        <v>51</v>
      </c>
      <c r="E38" s="630">
        <f>SUM($E$36:$E$37)</f>
        <v>0</v>
      </c>
      <c r="F38" s="626" t="s">
        <v>8</v>
      </c>
      <c r="G38" s="632" t="s">
        <v>8</v>
      </c>
      <c r="H38" s="612" t="s">
        <v>8</v>
      </c>
      <c r="I38" s="61" t="s">
        <v>8</v>
      </c>
      <c r="J38" s="61" t="s">
        <v>8</v>
      </c>
    </row>
    <row r="39" spans="1:10" ht="16.5" thickTop="1" thickBot="1">
      <c r="A39" s="61" t="s">
        <v>8</v>
      </c>
      <c r="B39" s="614" t="s">
        <v>8</v>
      </c>
      <c r="C39" s="61" t="s">
        <v>8</v>
      </c>
      <c r="D39" s="61" t="s">
        <v>8</v>
      </c>
      <c r="E39" s="62" t="s">
        <v>8</v>
      </c>
      <c r="F39" s="61" t="s">
        <v>8</v>
      </c>
      <c r="G39" s="613" t="s">
        <v>8</v>
      </c>
      <c r="H39" s="61" t="s">
        <v>8</v>
      </c>
      <c r="I39" s="61" t="s">
        <v>8</v>
      </c>
      <c r="J39" s="61" t="s">
        <v>8</v>
      </c>
    </row>
    <row r="40" spans="1:10" ht="15.75" thickTop="1">
      <c r="A40" s="61" t="s">
        <v>8</v>
      </c>
      <c r="B40" s="633" t="s">
        <v>8</v>
      </c>
      <c r="C40" s="608" t="s">
        <v>8</v>
      </c>
      <c r="D40" s="608" t="s">
        <v>8</v>
      </c>
      <c r="E40" s="634" t="s">
        <v>8</v>
      </c>
      <c r="F40" s="608" t="s">
        <v>8</v>
      </c>
      <c r="G40" s="635" t="s">
        <v>8</v>
      </c>
      <c r="H40" s="609" t="s">
        <v>8</v>
      </c>
      <c r="I40" s="61" t="s">
        <v>8</v>
      </c>
      <c r="J40" s="61" t="s">
        <v>8</v>
      </c>
    </row>
    <row r="41" spans="1:10">
      <c r="A41" s="61" t="s">
        <v>8</v>
      </c>
      <c r="B41" s="616" t="s">
        <v>8</v>
      </c>
      <c r="C41" s="2007" t="s">
        <v>8</v>
      </c>
      <c r="D41" s="2009" t="s">
        <v>114</v>
      </c>
      <c r="E41" s="2008">
        <f>ABS(E13+$E$20-$E$38+$E$26-$E$32)</f>
        <v>72200</v>
      </c>
      <c r="F41" s="2007" t="s">
        <v>8</v>
      </c>
      <c r="G41" s="2011" t="s">
        <v>8</v>
      </c>
      <c r="H41" s="617" t="s">
        <v>8</v>
      </c>
      <c r="I41" s="61" t="s">
        <v>8</v>
      </c>
      <c r="J41" s="61" t="s">
        <v>8</v>
      </c>
    </row>
    <row r="42" spans="1:10">
      <c r="A42" s="61" t="s">
        <v>8</v>
      </c>
      <c r="B42" s="616" t="s">
        <v>8</v>
      </c>
      <c r="C42" s="2007" t="s">
        <v>8</v>
      </c>
      <c r="D42" s="2009" t="s">
        <v>115</v>
      </c>
      <c r="E42" s="2008">
        <v>72200</v>
      </c>
      <c r="F42" s="2007" t="s">
        <v>8</v>
      </c>
      <c r="G42" s="2011" t="s">
        <v>8</v>
      </c>
      <c r="H42" s="617" t="s">
        <v>8</v>
      </c>
      <c r="I42" s="61" t="s">
        <v>116</v>
      </c>
      <c r="J42" s="61" t="s">
        <v>8</v>
      </c>
    </row>
    <row r="43" spans="1:10" ht="15.75" thickBot="1">
      <c r="A43" s="61" t="s">
        <v>8</v>
      </c>
      <c r="B43" s="618" t="s">
        <v>8</v>
      </c>
      <c r="C43" s="611" t="s">
        <v>8</v>
      </c>
      <c r="D43" s="619" t="s">
        <v>117</v>
      </c>
      <c r="E43" s="620">
        <f>$E$42-$E$41</f>
        <v>0</v>
      </c>
      <c r="F43" s="611" t="s">
        <v>8</v>
      </c>
      <c r="G43" s="621" t="s">
        <v>8</v>
      </c>
      <c r="H43" s="612" t="s">
        <v>8</v>
      </c>
      <c r="I43" s="61" t="s">
        <v>8</v>
      </c>
      <c r="J43" s="61" t="s">
        <v>8</v>
      </c>
    </row>
    <row r="44" spans="1:10" ht="16.5" thickTop="1" thickBot="1">
      <c r="A44" s="61" t="s">
        <v>8</v>
      </c>
      <c r="B44" s="614" t="s">
        <v>8</v>
      </c>
      <c r="C44" s="61" t="s">
        <v>8</v>
      </c>
      <c r="D44" s="61" t="s">
        <v>8</v>
      </c>
      <c r="E44" s="62" t="s">
        <v>8</v>
      </c>
      <c r="F44" s="61" t="s">
        <v>8</v>
      </c>
      <c r="G44" s="613" t="s">
        <v>8</v>
      </c>
      <c r="H44" s="61" t="s">
        <v>8</v>
      </c>
      <c r="I44" s="61" t="s">
        <v>8</v>
      </c>
      <c r="J44" s="61" t="s">
        <v>8</v>
      </c>
    </row>
    <row r="45" spans="1:10" ht="15.75" thickTop="1">
      <c r="A45" s="61" t="s">
        <v>8</v>
      </c>
      <c r="B45" s="633" t="s">
        <v>8</v>
      </c>
      <c r="C45" s="608" t="s">
        <v>8</v>
      </c>
      <c r="D45" s="615" t="s">
        <v>118</v>
      </c>
      <c r="E45" s="639" t="s">
        <v>119</v>
      </c>
      <c r="F45" s="615" t="s">
        <v>120</v>
      </c>
      <c r="G45" s="635">
        <v>45981</v>
      </c>
      <c r="H45" s="609" t="s">
        <v>8</v>
      </c>
      <c r="I45" s="61" t="s">
        <v>8</v>
      </c>
      <c r="J45" s="61" t="s">
        <v>8</v>
      </c>
    </row>
    <row r="46" spans="1:10">
      <c r="A46" s="61" t="s">
        <v>8</v>
      </c>
      <c r="B46" s="616" t="s">
        <v>8</v>
      </c>
      <c r="C46" s="2007" t="s">
        <v>8</v>
      </c>
      <c r="D46" s="2007" t="s">
        <v>8</v>
      </c>
      <c r="E46" s="2010" t="s">
        <v>8</v>
      </c>
      <c r="F46" s="2007" t="s">
        <v>8</v>
      </c>
      <c r="G46" s="2011" t="s">
        <v>8</v>
      </c>
      <c r="H46" s="617" t="s">
        <v>8</v>
      </c>
      <c r="I46" s="61" t="s">
        <v>8</v>
      </c>
      <c r="J46" s="61" t="s">
        <v>8</v>
      </c>
    </row>
    <row r="47" spans="1:10">
      <c r="A47" s="61" t="s">
        <v>8</v>
      </c>
      <c r="B47" s="616" t="s">
        <v>8</v>
      </c>
      <c r="C47" s="2007" t="s">
        <v>8</v>
      </c>
      <c r="D47" s="2007" t="s">
        <v>8</v>
      </c>
      <c r="E47" s="2010" t="s">
        <v>8</v>
      </c>
      <c r="F47" s="2007" t="s">
        <v>8</v>
      </c>
      <c r="G47" s="2011" t="s">
        <v>8</v>
      </c>
      <c r="H47" s="617" t="s">
        <v>8</v>
      </c>
      <c r="I47" s="61" t="s">
        <v>8</v>
      </c>
      <c r="J47" s="61" t="s">
        <v>8</v>
      </c>
    </row>
    <row r="48" spans="1:10">
      <c r="A48" s="61" t="s">
        <v>8</v>
      </c>
      <c r="B48" s="616" t="s">
        <v>8</v>
      </c>
      <c r="C48" s="2007" t="s">
        <v>8</v>
      </c>
      <c r="D48" s="2009" t="s">
        <v>121</v>
      </c>
      <c r="E48" s="2008" t="s">
        <v>8</v>
      </c>
      <c r="F48" s="2009" t="s">
        <v>120</v>
      </c>
      <c r="G48" s="2011" t="s">
        <v>8</v>
      </c>
      <c r="H48" s="617" t="s">
        <v>8</v>
      </c>
      <c r="I48" s="61" t="s">
        <v>8</v>
      </c>
      <c r="J48" s="61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31.425781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12</v>
      </c>
      <c r="J1" s="66" t="s">
        <v>13</v>
      </c>
    </row>
    <row r="2" spans="1:10">
      <c r="A2" s="64" t="s">
        <v>8</v>
      </c>
      <c r="B2" s="64" t="s">
        <v>8</v>
      </c>
      <c r="C2" s="64" t="s">
        <v>8</v>
      </c>
      <c r="D2" s="64" t="s">
        <v>8</v>
      </c>
      <c r="E2" s="64" t="s">
        <v>8</v>
      </c>
      <c r="F2" s="64" t="s">
        <v>8</v>
      </c>
      <c r="G2" s="64" t="s">
        <v>8</v>
      </c>
      <c r="H2" s="64" t="s">
        <v>8</v>
      </c>
      <c r="I2" s="64" t="s">
        <v>8</v>
      </c>
      <c r="J2" s="64" t="s">
        <v>8</v>
      </c>
    </row>
    <row r="3" spans="1:10" ht="15.75" thickBot="1">
      <c r="A3" s="64" t="s">
        <v>8</v>
      </c>
      <c r="B3" s="64" t="s">
        <v>8</v>
      </c>
      <c r="C3" s="64" t="s">
        <v>8</v>
      </c>
      <c r="D3" s="64" t="s">
        <v>8</v>
      </c>
      <c r="E3" s="64" t="s">
        <v>8</v>
      </c>
      <c r="F3" s="64" t="s">
        <v>8</v>
      </c>
      <c r="G3" s="64" t="s">
        <v>8</v>
      </c>
      <c r="H3" s="64" t="s">
        <v>8</v>
      </c>
      <c r="I3" s="64" t="s">
        <v>8</v>
      </c>
      <c r="J3" s="64" t="s">
        <v>8</v>
      </c>
    </row>
    <row r="4" spans="1:10" ht="16.5" thickTop="1" thickBot="1">
      <c r="A4" s="64" t="s">
        <v>8</v>
      </c>
      <c r="B4" s="64" t="s">
        <v>14</v>
      </c>
      <c r="C4" s="64" t="s">
        <v>8</v>
      </c>
      <c r="D4" s="641" t="s">
        <v>15</v>
      </c>
      <c r="E4" s="64" t="s">
        <v>16</v>
      </c>
      <c r="F4" s="641" t="s">
        <v>178</v>
      </c>
      <c r="G4" s="64" t="s">
        <v>8</v>
      </c>
      <c r="H4" s="64" t="s">
        <v>8</v>
      </c>
      <c r="I4" s="64" t="s">
        <v>8</v>
      </c>
      <c r="J4" s="64" t="s">
        <v>8</v>
      </c>
    </row>
    <row r="5" spans="1:10" ht="16.5" thickTop="1" thickBot="1">
      <c r="A5" s="64" t="s">
        <v>8</v>
      </c>
      <c r="B5" s="64" t="s">
        <v>8</v>
      </c>
      <c r="C5" s="64" t="s">
        <v>8</v>
      </c>
      <c r="D5" s="64" t="s">
        <v>8</v>
      </c>
      <c r="E5" s="64" t="s">
        <v>8</v>
      </c>
      <c r="F5" s="64" t="s">
        <v>8</v>
      </c>
      <c r="G5" s="64" t="s">
        <v>8</v>
      </c>
      <c r="H5" s="64" t="s">
        <v>8</v>
      </c>
      <c r="I5" s="64" t="s">
        <v>8</v>
      </c>
      <c r="J5" s="64" t="s">
        <v>8</v>
      </c>
    </row>
    <row r="6" spans="1:10" ht="16.5" thickTop="1" thickBot="1">
      <c r="A6" s="64" t="s">
        <v>8</v>
      </c>
      <c r="B6" s="64" t="s">
        <v>18</v>
      </c>
      <c r="C6" s="64" t="s">
        <v>8</v>
      </c>
      <c r="D6" s="641" t="s">
        <v>19</v>
      </c>
      <c r="E6" s="64" t="s">
        <v>20</v>
      </c>
      <c r="F6" s="641" t="s">
        <v>179</v>
      </c>
      <c r="G6" s="64" t="s">
        <v>8</v>
      </c>
      <c r="H6" s="64" t="s">
        <v>8</v>
      </c>
      <c r="I6" s="64" t="s">
        <v>8</v>
      </c>
      <c r="J6" s="64" t="s">
        <v>8</v>
      </c>
    </row>
    <row r="7" spans="1:10" ht="16.5" thickTop="1" thickBot="1">
      <c r="A7" s="64" t="s">
        <v>8</v>
      </c>
      <c r="B7" s="64" t="s">
        <v>8</v>
      </c>
      <c r="C7" s="64" t="s">
        <v>8</v>
      </c>
      <c r="D7" s="64" t="s">
        <v>8</v>
      </c>
      <c r="E7" s="64" t="s">
        <v>8</v>
      </c>
      <c r="F7" s="64" t="s">
        <v>8</v>
      </c>
      <c r="G7" s="64" t="s">
        <v>8</v>
      </c>
      <c r="H7" s="64" t="s">
        <v>8</v>
      </c>
      <c r="I7" s="64" t="s">
        <v>8</v>
      </c>
      <c r="J7" s="64" t="s">
        <v>8</v>
      </c>
    </row>
    <row r="8" spans="1:10" ht="16.5" thickTop="1" thickBot="1">
      <c r="A8" s="64" t="s">
        <v>8</v>
      </c>
      <c r="B8" s="64" t="s">
        <v>22</v>
      </c>
      <c r="C8" s="64" t="s">
        <v>8</v>
      </c>
      <c r="D8" s="641" t="s">
        <v>11</v>
      </c>
      <c r="E8" s="64" t="s">
        <v>23</v>
      </c>
      <c r="F8" s="641" t="s">
        <v>180</v>
      </c>
      <c r="G8" s="64" t="s">
        <v>8</v>
      </c>
      <c r="H8" s="64" t="s">
        <v>8</v>
      </c>
      <c r="I8" s="64" t="s">
        <v>8</v>
      </c>
      <c r="J8" s="64" t="s">
        <v>8</v>
      </c>
    </row>
    <row r="9" spans="1:10" ht="16.5" thickTop="1" thickBot="1">
      <c r="A9" s="64" t="s">
        <v>8</v>
      </c>
      <c r="B9" s="64" t="s">
        <v>8</v>
      </c>
      <c r="C9" s="64" t="s">
        <v>8</v>
      </c>
      <c r="D9" s="64" t="s">
        <v>8</v>
      </c>
      <c r="E9" s="64" t="s">
        <v>8</v>
      </c>
      <c r="F9" s="64" t="s">
        <v>8</v>
      </c>
      <c r="G9" s="64" t="s">
        <v>8</v>
      </c>
      <c r="H9" s="64" t="s">
        <v>8</v>
      </c>
      <c r="I9" s="64" t="s">
        <v>8</v>
      </c>
      <c r="J9" s="64" t="s">
        <v>8</v>
      </c>
    </row>
    <row r="10" spans="1:10" ht="16.5" thickTop="1" thickBot="1">
      <c r="A10" s="64" t="s">
        <v>8</v>
      </c>
      <c r="B10" s="64" t="s">
        <v>25</v>
      </c>
      <c r="C10" s="64" t="s">
        <v>8</v>
      </c>
      <c r="D10" s="641" t="s">
        <v>26</v>
      </c>
      <c r="E10" s="64" t="s">
        <v>8</v>
      </c>
      <c r="F10" s="64" t="s">
        <v>8</v>
      </c>
      <c r="G10" s="64" t="s">
        <v>8</v>
      </c>
      <c r="H10" s="64" t="s">
        <v>8</v>
      </c>
      <c r="I10" s="64" t="s">
        <v>8</v>
      </c>
      <c r="J10" s="64" t="s">
        <v>8</v>
      </c>
    </row>
    <row r="11" spans="1:10" ht="16.5" thickTop="1" thickBot="1">
      <c r="A11" s="64" t="s">
        <v>8</v>
      </c>
      <c r="B11" s="64" t="s">
        <v>8</v>
      </c>
      <c r="C11" s="64" t="s">
        <v>8</v>
      </c>
      <c r="D11" s="64" t="s">
        <v>8</v>
      </c>
      <c r="E11" s="64" t="s">
        <v>8</v>
      </c>
      <c r="F11" s="64" t="s">
        <v>8</v>
      </c>
      <c r="G11" s="64" t="s">
        <v>8</v>
      </c>
      <c r="H11" s="64" t="s">
        <v>8</v>
      </c>
      <c r="I11" s="64" t="s">
        <v>8</v>
      </c>
      <c r="J11" s="64" t="s">
        <v>8</v>
      </c>
    </row>
    <row r="12" spans="1:10" ht="16.5" thickTop="1" thickBot="1">
      <c r="A12" s="64" t="s">
        <v>8</v>
      </c>
      <c r="B12" s="642" t="s">
        <v>8</v>
      </c>
      <c r="C12" s="643" t="s">
        <v>8</v>
      </c>
      <c r="D12" s="643" t="s">
        <v>8</v>
      </c>
      <c r="E12" s="643" t="s">
        <v>8</v>
      </c>
      <c r="F12" s="643" t="s">
        <v>8</v>
      </c>
      <c r="G12" s="643" t="s">
        <v>8</v>
      </c>
      <c r="H12" s="644" t="s">
        <v>8</v>
      </c>
      <c r="I12" s="64" t="s">
        <v>8</v>
      </c>
      <c r="J12" s="64" t="s">
        <v>8</v>
      </c>
    </row>
    <row r="13" spans="1:10" ht="16.5" thickTop="1" thickBot="1">
      <c r="A13" s="64" t="s">
        <v>8</v>
      </c>
      <c r="B13" s="645" t="s">
        <v>8</v>
      </c>
      <c r="C13" s="640" t="s">
        <v>177</v>
      </c>
      <c r="D13" s="646" t="s">
        <v>28</v>
      </c>
      <c r="E13" s="655">
        <v>159835</v>
      </c>
      <c r="F13" s="646" t="s">
        <v>8</v>
      </c>
      <c r="G13" s="646" t="s">
        <v>8</v>
      </c>
      <c r="H13" s="647" t="s">
        <v>8</v>
      </c>
      <c r="I13" s="64" t="s">
        <v>29</v>
      </c>
      <c r="J13" s="64" t="s">
        <v>8</v>
      </c>
    </row>
    <row r="14" spans="1:10" ht="16.5" thickTop="1" thickBot="1">
      <c r="A14" s="64" t="s">
        <v>8</v>
      </c>
      <c r="B14" s="64" t="s">
        <v>8</v>
      </c>
      <c r="C14" s="64" t="s">
        <v>8</v>
      </c>
      <c r="D14" s="64" t="s">
        <v>8</v>
      </c>
      <c r="E14" s="64" t="s">
        <v>8</v>
      </c>
      <c r="F14" s="64" t="s">
        <v>8</v>
      </c>
      <c r="G14" s="64" t="s">
        <v>8</v>
      </c>
      <c r="H14" s="64" t="s">
        <v>8</v>
      </c>
      <c r="I14" s="64" t="s">
        <v>8</v>
      </c>
      <c r="J14" s="64" t="s">
        <v>8</v>
      </c>
    </row>
    <row r="15" spans="1:10" ht="16.5" thickTop="1" thickBot="1">
      <c r="A15" s="64" t="s">
        <v>8</v>
      </c>
      <c r="B15" s="641" t="s">
        <v>30</v>
      </c>
      <c r="C15" s="640" t="s">
        <v>31</v>
      </c>
      <c r="D15" s="640" t="s">
        <v>32</v>
      </c>
      <c r="E15" s="640" t="s">
        <v>33</v>
      </c>
      <c r="F15" s="640" t="s">
        <v>34</v>
      </c>
      <c r="G15" s="640" t="s">
        <v>35</v>
      </c>
      <c r="H15" s="640" t="s">
        <v>36</v>
      </c>
      <c r="I15" s="64" t="s">
        <v>8</v>
      </c>
      <c r="J15" s="64" t="s">
        <v>8</v>
      </c>
    </row>
    <row r="16" spans="1:10" ht="16.5" thickTop="1" thickBot="1">
      <c r="A16" s="64" t="s">
        <v>8</v>
      </c>
      <c r="B16" s="64" t="s">
        <v>8</v>
      </c>
      <c r="C16" s="64" t="s">
        <v>8</v>
      </c>
      <c r="D16" s="64" t="s">
        <v>8</v>
      </c>
      <c r="E16" s="64" t="s">
        <v>8</v>
      </c>
      <c r="F16" s="64" t="s">
        <v>8</v>
      </c>
      <c r="G16" s="64" t="s">
        <v>8</v>
      </c>
      <c r="H16" s="64" t="s">
        <v>8</v>
      </c>
      <c r="I16" s="64" t="s">
        <v>8</v>
      </c>
      <c r="J16" s="64" t="s">
        <v>8</v>
      </c>
    </row>
    <row r="17" spans="1:10" ht="15.75" thickTop="1">
      <c r="A17" s="64" t="s">
        <v>8</v>
      </c>
      <c r="B17" s="657" t="s">
        <v>8</v>
      </c>
      <c r="C17" s="657" t="s">
        <v>8</v>
      </c>
      <c r="D17" s="662" t="s">
        <v>37</v>
      </c>
      <c r="E17" s="657" t="s">
        <v>8</v>
      </c>
      <c r="F17" s="657" t="s">
        <v>8</v>
      </c>
      <c r="G17" s="657" t="s">
        <v>8</v>
      </c>
      <c r="H17" s="644" t="s">
        <v>8</v>
      </c>
      <c r="I17" s="64" t="s">
        <v>8</v>
      </c>
      <c r="J17" s="64" t="s">
        <v>8</v>
      </c>
    </row>
    <row r="18" spans="1:10">
      <c r="A18" s="64" t="s">
        <v>8</v>
      </c>
      <c r="B18" s="658" t="s">
        <v>8</v>
      </c>
      <c r="C18" s="660" t="s">
        <v>8</v>
      </c>
      <c r="D18" s="660" t="s">
        <v>8</v>
      </c>
      <c r="E18" s="664" t="s">
        <v>8</v>
      </c>
      <c r="F18" s="660" t="s">
        <v>8</v>
      </c>
      <c r="G18" s="666" t="s">
        <v>8</v>
      </c>
      <c r="H18" s="652" t="s">
        <v>8</v>
      </c>
      <c r="I18" s="64" t="s">
        <v>8</v>
      </c>
      <c r="J18" s="64" t="s">
        <v>8</v>
      </c>
    </row>
    <row r="19" spans="1:10">
      <c r="A19" s="64" t="s">
        <v>8</v>
      </c>
      <c r="B19" s="658" t="s">
        <v>8</v>
      </c>
      <c r="C19" s="660" t="s">
        <v>8</v>
      </c>
      <c r="D19" s="660" t="s">
        <v>8</v>
      </c>
      <c r="E19" s="664" t="s">
        <v>8</v>
      </c>
      <c r="F19" s="660" t="s">
        <v>8</v>
      </c>
      <c r="G19" s="666" t="s">
        <v>8</v>
      </c>
      <c r="H19" s="652" t="s">
        <v>8</v>
      </c>
      <c r="I19" s="64" t="s">
        <v>8</v>
      </c>
      <c r="J19" s="64" t="s">
        <v>8</v>
      </c>
    </row>
    <row r="20" spans="1:10" ht="15.75" thickBot="1">
      <c r="A20" s="64" t="s">
        <v>8</v>
      </c>
      <c r="B20" s="659" t="s">
        <v>8</v>
      </c>
      <c r="C20" s="661" t="s">
        <v>8</v>
      </c>
      <c r="D20" s="663" t="s">
        <v>51</v>
      </c>
      <c r="E20" s="665">
        <f>SUM($E$18:$E$19)</f>
        <v>0</v>
      </c>
      <c r="F20" s="661" t="s">
        <v>8</v>
      </c>
      <c r="G20" s="667" t="s">
        <v>8</v>
      </c>
      <c r="H20" s="647" t="s">
        <v>8</v>
      </c>
      <c r="I20" s="64" t="s">
        <v>8</v>
      </c>
      <c r="J20" s="64" t="s">
        <v>8</v>
      </c>
    </row>
    <row r="21" spans="1:10" ht="15.75" thickTop="1">
      <c r="A21" s="64" t="s">
        <v>8</v>
      </c>
      <c r="B21" s="649" t="s">
        <v>8</v>
      </c>
      <c r="C21" s="64" t="s">
        <v>8</v>
      </c>
      <c r="D21" s="64" t="s">
        <v>8</v>
      </c>
      <c r="E21" s="65" t="s">
        <v>8</v>
      </c>
      <c r="F21" s="64" t="s">
        <v>8</v>
      </c>
      <c r="G21" s="648" t="s">
        <v>8</v>
      </c>
      <c r="H21" s="64" t="s">
        <v>8</v>
      </c>
      <c r="I21" s="64" t="s">
        <v>8</v>
      </c>
      <c r="J21" s="64" t="s">
        <v>8</v>
      </c>
    </row>
    <row r="22" spans="1:10" ht="15.75" thickBot="1">
      <c r="A22" s="64" t="s">
        <v>8</v>
      </c>
      <c r="B22" s="649" t="s">
        <v>8</v>
      </c>
      <c r="C22" s="64" t="s">
        <v>8</v>
      </c>
      <c r="D22" s="64" t="s">
        <v>8</v>
      </c>
      <c r="E22" s="65" t="s">
        <v>8</v>
      </c>
      <c r="F22" s="64" t="s">
        <v>8</v>
      </c>
      <c r="G22" s="648" t="s">
        <v>8</v>
      </c>
      <c r="H22" s="64" t="s">
        <v>8</v>
      </c>
      <c r="I22" s="64" t="s">
        <v>8</v>
      </c>
      <c r="J22" s="64" t="s">
        <v>8</v>
      </c>
    </row>
    <row r="23" spans="1:10" ht="15.75" thickTop="1">
      <c r="A23" s="64" t="s">
        <v>8</v>
      </c>
      <c r="B23" s="671" t="s">
        <v>8</v>
      </c>
      <c r="C23" s="657" t="s">
        <v>8</v>
      </c>
      <c r="D23" s="662" t="s">
        <v>52</v>
      </c>
      <c r="E23" s="672" t="s">
        <v>8</v>
      </c>
      <c r="F23" s="657" t="s">
        <v>8</v>
      </c>
      <c r="G23" s="673" t="s">
        <v>8</v>
      </c>
      <c r="H23" s="644" t="s">
        <v>8</v>
      </c>
      <c r="I23" s="64" t="s">
        <v>8</v>
      </c>
      <c r="J23" s="64" t="s">
        <v>8</v>
      </c>
    </row>
    <row r="24" spans="1:10">
      <c r="A24" s="64" t="s">
        <v>8</v>
      </c>
      <c r="B24" s="658" t="s">
        <v>8</v>
      </c>
      <c r="C24" s="660" t="s">
        <v>8</v>
      </c>
      <c r="D24" s="660" t="s">
        <v>8</v>
      </c>
      <c r="E24" s="664" t="s">
        <v>8</v>
      </c>
      <c r="F24" s="660" t="s">
        <v>8</v>
      </c>
      <c r="G24" s="666" t="s">
        <v>8</v>
      </c>
      <c r="H24" s="652" t="s">
        <v>8</v>
      </c>
      <c r="I24" s="64" t="s">
        <v>8</v>
      </c>
      <c r="J24" s="64" t="s">
        <v>8</v>
      </c>
    </row>
    <row r="25" spans="1:10">
      <c r="A25" s="64" t="s">
        <v>8</v>
      </c>
      <c r="B25" s="658" t="s">
        <v>8</v>
      </c>
      <c r="C25" s="660" t="s">
        <v>8</v>
      </c>
      <c r="D25" s="660" t="s">
        <v>8</v>
      </c>
      <c r="E25" s="664" t="s">
        <v>8</v>
      </c>
      <c r="F25" s="660" t="s">
        <v>8</v>
      </c>
      <c r="G25" s="666" t="s">
        <v>8</v>
      </c>
      <c r="H25" s="652" t="s">
        <v>8</v>
      </c>
      <c r="I25" s="64" t="s">
        <v>8</v>
      </c>
      <c r="J25" s="64" t="s">
        <v>8</v>
      </c>
    </row>
    <row r="26" spans="1:10" ht="15.75" thickBot="1">
      <c r="A26" s="64" t="s">
        <v>8</v>
      </c>
      <c r="B26" s="659" t="s">
        <v>8</v>
      </c>
      <c r="C26" s="661" t="s">
        <v>8</v>
      </c>
      <c r="D26" s="663" t="s">
        <v>51</v>
      </c>
      <c r="E26" s="665">
        <f>SUM($E$24:$E$25)</f>
        <v>0</v>
      </c>
      <c r="F26" s="661" t="s">
        <v>8</v>
      </c>
      <c r="G26" s="667" t="s">
        <v>8</v>
      </c>
      <c r="H26" s="647" t="s">
        <v>8</v>
      </c>
      <c r="I26" s="64" t="s">
        <v>8</v>
      </c>
      <c r="J26" s="64" t="s">
        <v>8</v>
      </c>
    </row>
    <row r="27" spans="1:10" ht="15.75" thickTop="1">
      <c r="A27" s="64" t="s">
        <v>8</v>
      </c>
      <c r="B27" s="649" t="s">
        <v>8</v>
      </c>
      <c r="C27" s="64" t="s">
        <v>8</v>
      </c>
      <c r="D27" s="64" t="s">
        <v>8</v>
      </c>
      <c r="E27" s="65" t="s">
        <v>8</v>
      </c>
      <c r="F27" s="64" t="s">
        <v>8</v>
      </c>
      <c r="G27" s="648" t="s">
        <v>8</v>
      </c>
      <c r="H27" s="64" t="s">
        <v>8</v>
      </c>
      <c r="I27" s="64" t="s">
        <v>8</v>
      </c>
      <c r="J27" s="64" t="s">
        <v>8</v>
      </c>
    </row>
    <row r="28" spans="1:10" ht="15.75" thickBot="1">
      <c r="A28" s="64" t="s">
        <v>8</v>
      </c>
      <c r="B28" s="649" t="s">
        <v>8</v>
      </c>
      <c r="C28" s="64" t="s">
        <v>8</v>
      </c>
      <c r="D28" s="64" t="s">
        <v>8</v>
      </c>
      <c r="E28" s="65" t="s">
        <v>8</v>
      </c>
      <c r="F28" s="64" t="s">
        <v>8</v>
      </c>
      <c r="G28" s="648" t="s">
        <v>8</v>
      </c>
      <c r="H28" s="64" t="s">
        <v>8</v>
      </c>
      <c r="I28" s="64" t="s">
        <v>8</v>
      </c>
      <c r="J28" s="64" t="s">
        <v>8</v>
      </c>
    </row>
    <row r="29" spans="1:10" ht="15.75" thickTop="1">
      <c r="A29" s="64" t="s">
        <v>8</v>
      </c>
      <c r="B29" s="671" t="s">
        <v>8</v>
      </c>
      <c r="C29" s="657" t="s">
        <v>8</v>
      </c>
      <c r="D29" s="662" t="s">
        <v>85</v>
      </c>
      <c r="E29" s="672" t="s">
        <v>8</v>
      </c>
      <c r="F29" s="657" t="s">
        <v>8</v>
      </c>
      <c r="G29" s="673" t="s">
        <v>8</v>
      </c>
      <c r="H29" s="644" t="s">
        <v>8</v>
      </c>
      <c r="I29" s="64" t="s">
        <v>8</v>
      </c>
      <c r="J29" s="64" t="s">
        <v>8</v>
      </c>
    </row>
    <row r="30" spans="1:10">
      <c r="A30" s="64" t="s">
        <v>8</v>
      </c>
      <c r="B30" s="658" t="s">
        <v>8</v>
      </c>
      <c r="C30" s="660" t="s">
        <v>8</v>
      </c>
      <c r="D30" s="660" t="s">
        <v>8</v>
      </c>
      <c r="E30" s="664" t="s">
        <v>8</v>
      </c>
      <c r="F30" s="660" t="s">
        <v>8</v>
      </c>
      <c r="G30" s="666" t="s">
        <v>8</v>
      </c>
      <c r="H30" s="652" t="s">
        <v>8</v>
      </c>
      <c r="I30" s="64" t="s">
        <v>8</v>
      </c>
      <c r="J30" s="64" t="s">
        <v>8</v>
      </c>
    </row>
    <row r="31" spans="1:10">
      <c r="A31" s="64" t="s">
        <v>8</v>
      </c>
      <c r="B31" s="658" t="s">
        <v>8</v>
      </c>
      <c r="C31" s="660" t="s">
        <v>8</v>
      </c>
      <c r="D31" s="660" t="s">
        <v>8</v>
      </c>
      <c r="E31" s="664" t="s">
        <v>8</v>
      </c>
      <c r="F31" s="660" t="s">
        <v>8</v>
      </c>
      <c r="G31" s="666" t="s">
        <v>8</v>
      </c>
      <c r="H31" s="652" t="s">
        <v>8</v>
      </c>
      <c r="I31" s="64" t="s">
        <v>8</v>
      </c>
      <c r="J31" s="64" t="s">
        <v>8</v>
      </c>
    </row>
    <row r="32" spans="1:10" ht="15.75" thickBot="1">
      <c r="A32" s="64" t="s">
        <v>8</v>
      </c>
      <c r="B32" s="659" t="s">
        <v>8</v>
      </c>
      <c r="C32" s="661" t="s">
        <v>8</v>
      </c>
      <c r="D32" s="663" t="s">
        <v>51</v>
      </c>
      <c r="E32" s="665">
        <f>SUM($E$30:$E$31)</f>
        <v>0</v>
      </c>
      <c r="F32" s="661" t="s">
        <v>8</v>
      </c>
      <c r="G32" s="667" t="s">
        <v>8</v>
      </c>
      <c r="H32" s="647" t="s">
        <v>8</v>
      </c>
      <c r="I32" s="64" t="s">
        <v>8</v>
      </c>
      <c r="J32" s="64" t="s">
        <v>8</v>
      </c>
    </row>
    <row r="33" spans="1:10" ht="15.75" thickTop="1">
      <c r="A33" s="64" t="s">
        <v>8</v>
      </c>
      <c r="B33" s="649" t="s">
        <v>8</v>
      </c>
      <c r="C33" s="64" t="s">
        <v>8</v>
      </c>
      <c r="D33" s="64" t="s">
        <v>8</v>
      </c>
      <c r="E33" s="65" t="s">
        <v>8</v>
      </c>
      <c r="F33" s="64" t="s">
        <v>8</v>
      </c>
      <c r="G33" s="648" t="s">
        <v>8</v>
      </c>
      <c r="H33" s="64" t="s">
        <v>8</v>
      </c>
      <c r="I33" s="64" t="s">
        <v>8</v>
      </c>
      <c r="J33" s="64" t="s">
        <v>8</v>
      </c>
    </row>
    <row r="34" spans="1:10" ht="15.75" thickBot="1">
      <c r="A34" s="64" t="s">
        <v>8</v>
      </c>
      <c r="B34" s="649" t="s">
        <v>8</v>
      </c>
      <c r="C34" s="64" t="s">
        <v>8</v>
      </c>
      <c r="D34" s="64" t="s">
        <v>8</v>
      </c>
      <c r="E34" s="65" t="s">
        <v>8</v>
      </c>
      <c r="F34" s="64" t="s">
        <v>8</v>
      </c>
      <c r="G34" s="648" t="s">
        <v>8</v>
      </c>
      <c r="H34" s="64" t="s">
        <v>8</v>
      </c>
      <c r="I34" s="64" t="s">
        <v>8</v>
      </c>
      <c r="J34" s="64" t="s">
        <v>8</v>
      </c>
    </row>
    <row r="35" spans="1:10" ht="15.75" thickTop="1">
      <c r="A35" s="64" t="s">
        <v>8</v>
      </c>
      <c r="B35" s="671" t="s">
        <v>8</v>
      </c>
      <c r="C35" s="657" t="s">
        <v>8</v>
      </c>
      <c r="D35" s="662" t="s">
        <v>95</v>
      </c>
      <c r="E35" s="672" t="s">
        <v>8</v>
      </c>
      <c r="F35" s="657" t="s">
        <v>8</v>
      </c>
      <c r="G35" s="673" t="s">
        <v>8</v>
      </c>
      <c r="H35" s="644" t="s">
        <v>8</v>
      </c>
      <c r="I35" s="64" t="s">
        <v>8</v>
      </c>
      <c r="J35" s="64" t="s">
        <v>8</v>
      </c>
    </row>
    <row r="36" spans="1:10">
      <c r="A36" s="64" t="s">
        <v>8</v>
      </c>
      <c r="B36" s="658" t="s">
        <v>8</v>
      </c>
      <c r="C36" s="660" t="s">
        <v>8</v>
      </c>
      <c r="D36" s="660" t="s">
        <v>8</v>
      </c>
      <c r="E36" s="664" t="s">
        <v>8</v>
      </c>
      <c r="F36" s="660" t="s">
        <v>8</v>
      </c>
      <c r="G36" s="666" t="s">
        <v>8</v>
      </c>
      <c r="H36" s="652" t="s">
        <v>8</v>
      </c>
      <c r="I36" s="64" t="s">
        <v>8</v>
      </c>
      <c r="J36" s="64" t="s">
        <v>8</v>
      </c>
    </row>
    <row r="37" spans="1:10">
      <c r="A37" s="64" t="s">
        <v>8</v>
      </c>
      <c r="B37" s="658" t="s">
        <v>8</v>
      </c>
      <c r="C37" s="660" t="s">
        <v>8</v>
      </c>
      <c r="D37" s="660" t="s">
        <v>8</v>
      </c>
      <c r="E37" s="664" t="s">
        <v>8</v>
      </c>
      <c r="F37" s="660" t="s">
        <v>8</v>
      </c>
      <c r="G37" s="666" t="s">
        <v>8</v>
      </c>
      <c r="H37" s="652" t="s">
        <v>8</v>
      </c>
      <c r="I37" s="64" t="s">
        <v>8</v>
      </c>
      <c r="J37" s="64" t="s">
        <v>8</v>
      </c>
    </row>
    <row r="38" spans="1:10" ht="15.75" thickBot="1">
      <c r="A38" s="64" t="s">
        <v>8</v>
      </c>
      <c r="B38" s="659" t="s">
        <v>8</v>
      </c>
      <c r="C38" s="661" t="s">
        <v>8</v>
      </c>
      <c r="D38" s="663" t="s">
        <v>51</v>
      </c>
      <c r="E38" s="665">
        <f>SUM($E$36:$E$37)</f>
        <v>0</v>
      </c>
      <c r="F38" s="661" t="s">
        <v>8</v>
      </c>
      <c r="G38" s="667" t="s">
        <v>8</v>
      </c>
      <c r="H38" s="647" t="s">
        <v>8</v>
      </c>
      <c r="I38" s="64" t="s">
        <v>8</v>
      </c>
      <c r="J38" s="64" t="s">
        <v>8</v>
      </c>
    </row>
    <row r="39" spans="1:10" ht="16.5" thickTop="1" thickBot="1">
      <c r="A39" s="64" t="s">
        <v>8</v>
      </c>
      <c r="B39" s="649" t="s">
        <v>8</v>
      </c>
      <c r="C39" s="64" t="s">
        <v>8</v>
      </c>
      <c r="D39" s="64" t="s">
        <v>8</v>
      </c>
      <c r="E39" s="65" t="s">
        <v>8</v>
      </c>
      <c r="F39" s="64" t="s">
        <v>8</v>
      </c>
      <c r="G39" s="648" t="s">
        <v>8</v>
      </c>
      <c r="H39" s="64" t="s">
        <v>8</v>
      </c>
      <c r="I39" s="64" t="s">
        <v>8</v>
      </c>
      <c r="J39" s="64" t="s">
        <v>8</v>
      </c>
    </row>
    <row r="40" spans="1:10" ht="15.75" thickTop="1">
      <c r="A40" s="64" t="s">
        <v>8</v>
      </c>
      <c r="B40" s="668" t="s">
        <v>8</v>
      </c>
      <c r="C40" s="643" t="s">
        <v>8</v>
      </c>
      <c r="D40" s="643" t="s">
        <v>8</v>
      </c>
      <c r="E40" s="669" t="s">
        <v>8</v>
      </c>
      <c r="F40" s="643" t="s">
        <v>8</v>
      </c>
      <c r="G40" s="670" t="s">
        <v>8</v>
      </c>
      <c r="H40" s="644" t="s">
        <v>8</v>
      </c>
      <c r="I40" s="64" t="s">
        <v>8</v>
      </c>
      <c r="J40" s="64" t="s">
        <v>8</v>
      </c>
    </row>
    <row r="41" spans="1:10">
      <c r="A41" s="64" t="s">
        <v>8</v>
      </c>
      <c r="B41" s="651" t="s">
        <v>8</v>
      </c>
      <c r="C41" s="2012" t="s">
        <v>8</v>
      </c>
      <c r="D41" s="2014" t="s">
        <v>114</v>
      </c>
      <c r="E41" s="2013">
        <f>ABS(E13+$E$20-$E$38+$E$26-$E$32)</f>
        <v>159835</v>
      </c>
      <c r="F41" s="2012" t="s">
        <v>8</v>
      </c>
      <c r="G41" s="2016" t="s">
        <v>8</v>
      </c>
      <c r="H41" s="652" t="s">
        <v>8</v>
      </c>
      <c r="I41" s="64" t="s">
        <v>8</v>
      </c>
      <c r="J41" s="64" t="s">
        <v>8</v>
      </c>
    </row>
    <row r="42" spans="1:10">
      <c r="A42" s="64" t="s">
        <v>8</v>
      </c>
      <c r="B42" s="651" t="s">
        <v>8</v>
      </c>
      <c r="C42" s="2012" t="s">
        <v>8</v>
      </c>
      <c r="D42" s="2014" t="s">
        <v>115</v>
      </c>
      <c r="E42" s="2013">
        <v>159835</v>
      </c>
      <c r="F42" s="2012" t="s">
        <v>8</v>
      </c>
      <c r="G42" s="2016" t="s">
        <v>8</v>
      </c>
      <c r="H42" s="652" t="s">
        <v>8</v>
      </c>
      <c r="I42" s="64" t="s">
        <v>116</v>
      </c>
      <c r="J42" s="64" t="s">
        <v>8</v>
      </c>
    </row>
    <row r="43" spans="1:10" ht="15.75" thickBot="1">
      <c r="A43" s="64" t="s">
        <v>8</v>
      </c>
      <c r="B43" s="653" t="s">
        <v>8</v>
      </c>
      <c r="C43" s="646" t="s">
        <v>8</v>
      </c>
      <c r="D43" s="654" t="s">
        <v>117</v>
      </c>
      <c r="E43" s="655">
        <f>$E$42-$E$41</f>
        <v>0</v>
      </c>
      <c r="F43" s="646" t="s">
        <v>8</v>
      </c>
      <c r="G43" s="656" t="s">
        <v>8</v>
      </c>
      <c r="H43" s="647" t="s">
        <v>8</v>
      </c>
      <c r="I43" s="64" t="s">
        <v>8</v>
      </c>
      <c r="J43" s="64" t="s">
        <v>8</v>
      </c>
    </row>
    <row r="44" spans="1:10" ht="16.5" thickTop="1" thickBot="1">
      <c r="A44" s="64" t="s">
        <v>8</v>
      </c>
      <c r="B44" s="649" t="s">
        <v>8</v>
      </c>
      <c r="C44" s="64" t="s">
        <v>8</v>
      </c>
      <c r="D44" s="64" t="s">
        <v>8</v>
      </c>
      <c r="E44" s="65" t="s">
        <v>8</v>
      </c>
      <c r="F44" s="64" t="s">
        <v>8</v>
      </c>
      <c r="G44" s="648" t="s">
        <v>8</v>
      </c>
      <c r="H44" s="64" t="s">
        <v>8</v>
      </c>
      <c r="I44" s="64" t="s">
        <v>8</v>
      </c>
      <c r="J44" s="64" t="s">
        <v>8</v>
      </c>
    </row>
    <row r="45" spans="1:10" ht="15.75" thickTop="1">
      <c r="A45" s="64" t="s">
        <v>8</v>
      </c>
      <c r="B45" s="668" t="s">
        <v>8</v>
      </c>
      <c r="C45" s="643" t="s">
        <v>8</v>
      </c>
      <c r="D45" s="650" t="s">
        <v>118</v>
      </c>
      <c r="E45" s="674" t="s">
        <v>119</v>
      </c>
      <c r="F45" s="650" t="s">
        <v>120</v>
      </c>
      <c r="G45" s="670">
        <v>45981</v>
      </c>
      <c r="H45" s="644" t="s">
        <v>8</v>
      </c>
      <c r="I45" s="64" t="s">
        <v>8</v>
      </c>
      <c r="J45" s="64" t="s">
        <v>8</v>
      </c>
    </row>
    <row r="46" spans="1:10">
      <c r="A46" s="64" t="s">
        <v>8</v>
      </c>
      <c r="B46" s="651" t="s">
        <v>8</v>
      </c>
      <c r="C46" s="2012" t="s">
        <v>8</v>
      </c>
      <c r="D46" s="2012" t="s">
        <v>8</v>
      </c>
      <c r="E46" s="2015" t="s">
        <v>8</v>
      </c>
      <c r="F46" s="2012" t="s">
        <v>8</v>
      </c>
      <c r="G46" s="2016" t="s">
        <v>8</v>
      </c>
      <c r="H46" s="652" t="s">
        <v>8</v>
      </c>
      <c r="I46" s="64" t="s">
        <v>8</v>
      </c>
      <c r="J46" s="64" t="s">
        <v>8</v>
      </c>
    </row>
    <row r="47" spans="1:10">
      <c r="A47" s="64" t="s">
        <v>8</v>
      </c>
      <c r="B47" s="651" t="s">
        <v>8</v>
      </c>
      <c r="C47" s="2012" t="s">
        <v>8</v>
      </c>
      <c r="D47" s="2012" t="s">
        <v>8</v>
      </c>
      <c r="E47" s="2015" t="s">
        <v>8</v>
      </c>
      <c r="F47" s="2012" t="s">
        <v>8</v>
      </c>
      <c r="G47" s="2016" t="s">
        <v>8</v>
      </c>
      <c r="H47" s="652" t="s">
        <v>8</v>
      </c>
      <c r="I47" s="64" t="s">
        <v>8</v>
      </c>
      <c r="J47" s="64" t="s">
        <v>8</v>
      </c>
    </row>
    <row r="48" spans="1:10">
      <c r="A48" s="64" t="s">
        <v>8</v>
      </c>
      <c r="B48" s="651" t="s">
        <v>8</v>
      </c>
      <c r="C48" s="2012" t="s">
        <v>8</v>
      </c>
      <c r="D48" s="2014" t="s">
        <v>121</v>
      </c>
      <c r="E48" s="2013" t="s">
        <v>8</v>
      </c>
      <c r="F48" s="2014" t="s">
        <v>120</v>
      </c>
      <c r="G48" s="2016" t="s">
        <v>8</v>
      </c>
      <c r="H48" s="652" t="s">
        <v>8</v>
      </c>
      <c r="I48" s="64" t="s">
        <v>8</v>
      </c>
      <c r="J48" s="64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31.570312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12</v>
      </c>
      <c r="J1" s="69" t="s">
        <v>13</v>
      </c>
    </row>
    <row r="2" spans="1:10">
      <c r="A2" s="67" t="s">
        <v>8</v>
      </c>
      <c r="B2" s="67" t="s">
        <v>8</v>
      </c>
      <c r="C2" s="67" t="s">
        <v>8</v>
      </c>
      <c r="D2" s="67" t="s">
        <v>8</v>
      </c>
      <c r="E2" s="67" t="s">
        <v>8</v>
      </c>
      <c r="F2" s="67" t="s">
        <v>8</v>
      </c>
      <c r="G2" s="67" t="s">
        <v>8</v>
      </c>
      <c r="H2" s="67" t="s">
        <v>8</v>
      </c>
      <c r="I2" s="67" t="s">
        <v>8</v>
      </c>
      <c r="J2" s="67" t="s">
        <v>8</v>
      </c>
    </row>
    <row r="3" spans="1:10" ht="15.75" thickBot="1">
      <c r="A3" s="67" t="s">
        <v>8</v>
      </c>
      <c r="B3" s="67" t="s">
        <v>8</v>
      </c>
      <c r="C3" s="67" t="s">
        <v>8</v>
      </c>
      <c r="D3" s="67" t="s">
        <v>8</v>
      </c>
      <c r="E3" s="67" t="s">
        <v>8</v>
      </c>
      <c r="F3" s="67" t="s">
        <v>8</v>
      </c>
      <c r="G3" s="67" t="s">
        <v>8</v>
      </c>
      <c r="H3" s="67" t="s">
        <v>8</v>
      </c>
      <c r="I3" s="67" t="s">
        <v>8</v>
      </c>
      <c r="J3" s="67" t="s">
        <v>8</v>
      </c>
    </row>
    <row r="4" spans="1:10" ht="16.5" thickTop="1" thickBot="1">
      <c r="A4" s="67" t="s">
        <v>8</v>
      </c>
      <c r="B4" s="67" t="s">
        <v>14</v>
      </c>
      <c r="C4" s="67" t="s">
        <v>8</v>
      </c>
      <c r="D4" s="676" t="s">
        <v>15</v>
      </c>
      <c r="E4" s="67" t="s">
        <v>16</v>
      </c>
      <c r="F4" s="676" t="s">
        <v>181</v>
      </c>
      <c r="G4" s="67" t="s">
        <v>8</v>
      </c>
      <c r="H4" s="67" t="s">
        <v>8</v>
      </c>
      <c r="I4" s="67" t="s">
        <v>8</v>
      </c>
      <c r="J4" s="67" t="s">
        <v>8</v>
      </c>
    </row>
    <row r="5" spans="1:10" ht="16.5" thickTop="1" thickBot="1">
      <c r="A5" s="67" t="s">
        <v>8</v>
      </c>
      <c r="B5" s="67" t="s">
        <v>8</v>
      </c>
      <c r="C5" s="67" t="s">
        <v>8</v>
      </c>
      <c r="D5" s="67" t="s">
        <v>8</v>
      </c>
      <c r="E5" s="67" t="s">
        <v>8</v>
      </c>
      <c r="F5" s="67" t="s">
        <v>8</v>
      </c>
      <c r="G5" s="67" t="s">
        <v>8</v>
      </c>
      <c r="H5" s="67" t="s">
        <v>8</v>
      </c>
      <c r="I5" s="67" t="s">
        <v>8</v>
      </c>
      <c r="J5" s="67" t="s">
        <v>8</v>
      </c>
    </row>
    <row r="6" spans="1:10" ht="16.5" thickTop="1" thickBot="1">
      <c r="A6" s="67" t="s">
        <v>8</v>
      </c>
      <c r="B6" s="67" t="s">
        <v>18</v>
      </c>
      <c r="C6" s="67" t="s">
        <v>8</v>
      </c>
      <c r="D6" s="676" t="s">
        <v>19</v>
      </c>
      <c r="E6" s="67" t="s">
        <v>20</v>
      </c>
      <c r="F6" s="676" t="s">
        <v>182</v>
      </c>
      <c r="G6" s="67" t="s">
        <v>8</v>
      </c>
      <c r="H6" s="67" t="s">
        <v>8</v>
      </c>
      <c r="I6" s="67" t="s">
        <v>8</v>
      </c>
      <c r="J6" s="67" t="s">
        <v>8</v>
      </c>
    </row>
    <row r="7" spans="1:10" ht="16.5" thickTop="1" thickBot="1">
      <c r="A7" s="67" t="s">
        <v>8</v>
      </c>
      <c r="B7" s="67" t="s">
        <v>8</v>
      </c>
      <c r="C7" s="67" t="s">
        <v>8</v>
      </c>
      <c r="D7" s="67" t="s">
        <v>8</v>
      </c>
      <c r="E7" s="67" t="s">
        <v>8</v>
      </c>
      <c r="F7" s="67" t="s">
        <v>8</v>
      </c>
      <c r="G7" s="67" t="s">
        <v>8</v>
      </c>
      <c r="H7" s="67" t="s">
        <v>8</v>
      </c>
      <c r="I7" s="67" t="s">
        <v>8</v>
      </c>
      <c r="J7" s="67" t="s">
        <v>8</v>
      </c>
    </row>
    <row r="8" spans="1:10" ht="16.5" thickTop="1" thickBot="1">
      <c r="A8" s="67" t="s">
        <v>8</v>
      </c>
      <c r="B8" s="67" t="s">
        <v>22</v>
      </c>
      <c r="C8" s="67" t="s">
        <v>8</v>
      </c>
      <c r="D8" s="676" t="s">
        <v>11</v>
      </c>
      <c r="E8" s="67" t="s">
        <v>23</v>
      </c>
      <c r="F8" s="676" t="s">
        <v>183</v>
      </c>
      <c r="G8" s="67" t="s">
        <v>8</v>
      </c>
      <c r="H8" s="67" t="s">
        <v>8</v>
      </c>
      <c r="I8" s="67" t="s">
        <v>8</v>
      </c>
      <c r="J8" s="67" t="s">
        <v>8</v>
      </c>
    </row>
    <row r="9" spans="1:10" ht="16.5" thickTop="1" thickBot="1">
      <c r="A9" s="67" t="s">
        <v>8</v>
      </c>
      <c r="B9" s="67" t="s">
        <v>8</v>
      </c>
      <c r="C9" s="67" t="s">
        <v>8</v>
      </c>
      <c r="D9" s="67" t="s">
        <v>8</v>
      </c>
      <c r="E9" s="67" t="s">
        <v>8</v>
      </c>
      <c r="F9" s="67" t="s">
        <v>8</v>
      </c>
      <c r="G9" s="67" t="s">
        <v>8</v>
      </c>
      <c r="H9" s="67" t="s">
        <v>8</v>
      </c>
      <c r="I9" s="67" t="s">
        <v>8</v>
      </c>
      <c r="J9" s="67" t="s">
        <v>8</v>
      </c>
    </row>
    <row r="10" spans="1:10" ht="16.5" thickTop="1" thickBot="1">
      <c r="A10" s="67" t="s">
        <v>8</v>
      </c>
      <c r="B10" s="67" t="s">
        <v>25</v>
      </c>
      <c r="C10" s="67" t="s">
        <v>8</v>
      </c>
      <c r="D10" s="676" t="s">
        <v>26</v>
      </c>
      <c r="E10" s="67" t="s">
        <v>8</v>
      </c>
      <c r="F10" s="67" t="s">
        <v>8</v>
      </c>
      <c r="G10" s="67" t="s">
        <v>8</v>
      </c>
      <c r="H10" s="67" t="s">
        <v>8</v>
      </c>
      <c r="I10" s="67" t="s">
        <v>8</v>
      </c>
      <c r="J10" s="67" t="s">
        <v>8</v>
      </c>
    </row>
    <row r="11" spans="1:10" ht="16.5" thickTop="1" thickBot="1">
      <c r="A11" s="67" t="s">
        <v>8</v>
      </c>
      <c r="B11" s="67" t="s">
        <v>8</v>
      </c>
      <c r="C11" s="67" t="s">
        <v>8</v>
      </c>
      <c r="D11" s="67" t="s">
        <v>8</v>
      </c>
      <c r="E11" s="67" t="s">
        <v>8</v>
      </c>
      <c r="F11" s="67" t="s">
        <v>8</v>
      </c>
      <c r="G11" s="67" t="s">
        <v>8</v>
      </c>
      <c r="H11" s="67" t="s">
        <v>8</v>
      </c>
      <c r="I11" s="67" t="s">
        <v>8</v>
      </c>
      <c r="J11" s="67" t="s">
        <v>8</v>
      </c>
    </row>
    <row r="12" spans="1:10" ht="16.5" thickTop="1" thickBot="1">
      <c r="A12" s="67" t="s">
        <v>8</v>
      </c>
      <c r="B12" s="677" t="s">
        <v>8</v>
      </c>
      <c r="C12" s="678" t="s">
        <v>8</v>
      </c>
      <c r="D12" s="678" t="s">
        <v>8</v>
      </c>
      <c r="E12" s="678" t="s">
        <v>8</v>
      </c>
      <c r="F12" s="678" t="s">
        <v>8</v>
      </c>
      <c r="G12" s="678" t="s">
        <v>8</v>
      </c>
      <c r="H12" s="679" t="s">
        <v>8</v>
      </c>
      <c r="I12" s="67" t="s">
        <v>8</v>
      </c>
      <c r="J12" s="67" t="s">
        <v>8</v>
      </c>
    </row>
    <row r="13" spans="1:10" ht="16.5" thickTop="1" thickBot="1">
      <c r="A13" s="67" t="s">
        <v>8</v>
      </c>
      <c r="B13" s="680" t="s">
        <v>8</v>
      </c>
      <c r="C13" s="675" t="s">
        <v>156</v>
      </c>
      <c r="D13" s="681" t="s">
        <v>28</v>
      </c>
      <c r="E13" s="690">
        <v>14340</v>
      </c>
      <c r="F13" s="681" t="s">
        <v>8</v>
      </c>
      <c r="G13" s="681" t="s">
        <v>8</v>
      </c>
      <c r="H13" s="682" t="s">
        <v>8</v>
      </c>
      <c r="I13" s="67" t="s">
        <v>29</v>
      </c>
      <c r="J13" s="67" t="s">
        <v>8</v>
      </c>
    </row>
    <row r="14" spans="1:10" ht="16.5" thickTop="1" thickBot="1">
      <c r="A14" s="67" t="s">
        <v>8</v>
      </c>
      <c r="B14" s="67" t="s">
        <v>8</v>
      </c>
      <c r="C14" s="67" t="s">
        <v>8</v>
      </c>
      <c r="D14" s="67" t="s">
        <v>8</v>
      </c>
      <c r="E14" s="67" t="s">
        <v>8</v>
      </c>
      <c r="F14" s="67" t="s">
        <v>8</v>
      </c>
      <c r="G14" s="67" t="s">
        <v>8</v>
      </c>
      <c r="H14" s="67" t="s">
        <v>8</v>
      </c>
      <c r="I14" s="67" t="s">
        <v>8</v>
      </c>
      <c r="J14" s="67" t="s">
        <v>8</v>
      </c>
    </row>
    <row r="15" spans="1:10" ht="16.5" thickTop="1" thickBot="1">
      <c r="A15" s="67" t="s">
        <v>8</v>
      </c>
      <c r="B15" s="676" t="s">
        <v>30</v>
      </c>
      <c r="C15" s="675" t="s">
        <v>31</v>
      </c>
      <c r="D15" s="675" t="s">
        <v>32</v>
      </c>
      <c r="E15" s="675" t="s">
        <v>33</v>
      </c>
      <c r="F15" s="675" t="s">
        <v>34</v>
      </c>
      <c r="G15" s="675" t="s">
        <v>35</v>
      </c>
      <c r="H15" s="675" t="s">
        <v>36</v>
      </c>
      <c r="I15" s="67" t="s">
        <v>8</v>
      </c>
      <c r="J15" s="67" t="s">
        <v>8</v>
      </c>
    </row>
    <row r="16" spans="1:10" ht="16.5" thickTop="1" thickBot="1">
      <c r="A16" s="67" t="s">
        <v>8</v>
      </c>
      <c r="B16" s="67" t="s">
        <v>8</v>
      </c>
      <c r="C16" s="67" t="s">
        <v>8</v>
      </c>
      <c r="D16" s="67" t="s">
        <v>8</v>
      </c>
      <c r="E16" s="67" t="s">
        <v>8</v>
      </c>
      <c r="F16" s="67" t="s">
        <v>8</v>
      </c>
      <c r="G16" s="67" t="s">
        <v>8</v>
      </c>
      <c r="H16" s="67" t="s">
        <v>8</v>
      </c>
      <c r="I16" s="67" t="s">
        <v>8</v>
      </c>
      <c r="J16" s="67" t="s">
        <v>8</v>
      </c>
    </row>
    <row r="17" spans="1:10" ht="15.75" thickTop="1">
      <c r="A17" s="67" t="s">
        <v>8</v>
      </c>
      <c r="B17" s="692" t="s">
        <v>8</v>
      </c>
      <c r="C17" s="692" t="s">
        <v>8</v>
      </c>
      <c r="D17" s="697" t="s">
        <v>37</v>
      </c>
      <c r="E17" s="692" t="s">
        <v>8</v>
      </c>
      <c r="F17" s="692" t="s">
        <v>8</v>
      </c>
      <c r="G17" s="692" t="s">
        <v>8</v>
      </c>
      <c r="H17" s="679" t="s">
        <v>8</v>
      </c>
      <c r="I17" s="67" t="s">
        <v>8</v>
      </c>
      <c r="J17" s="67" t="s">
        <v>8</v>
      </c>
    </row>
    <row r="18" spans="1:10">
      <c r="A18" s="67" t="s">
        <v>8</v>
      </c>
      <c r="B18" s="693" t="s">
        <v>8</v>
      </c>
      <c r="C18" s="695" t="s">
        <v>8</v>
      </c>
      <c r="D18" s="695" t="s">
        <v>8</v>
      </c>
      <c r="E18" s="699" t="s">
        <v>8</v>
      </c>
      <c r="F18" s="695" t="s">
        <v>8</v>
      </c>
      <c r="G18" s="701" t="s">
        <v>8</v>
      </c>
      <c r="H18" s="687" t="s">
        <v>8</v>
      </c>
      <c r="I18" s="67" t="s">
        <v>8</v>
      </c>
      <c r="J18" s="67" t="s">
        <v>8</v>
      </c>
    </row>
    <row r="19" spans="1:10">
      <c r="A19" s="67" t="s">
        <v>8</v>
      </c>
      <c r="B19" s="693" t="s">
        <v>8</v>
      </c>
      <c r="C19" s="695" t="s">
        <v>8</v>
      </c>
      <c r="D19" s="695" t="s">
        <v>8</v>
      </c>
      <c r="E19" s="699" t="s">
        <v>8</v>
      </c>
      <c r="F19" s="695" t="s">
        <v>8</v>
      </c>
      <c r="G19" s="701" t="s">
        <v>8</v>
      </c>
      <c r="H19" s="687" t="s">
        <v>8</v>
      </c>
      <c r="I19" s="67" t="s">
        <v>8</v>
      </c>
      <c r="J19" s="67" t="s">
        <v>8</v>
      </c>
    </row>
    <row r="20" spans="1:10" ht="15.75" thickBot="1">
      <c r="A20" s="67" t="s">
        <v>8</v>
      </c>
      <c r="B20" s="694" t="s">
        <v>8</v>
      </c>
      <c r="C20" s="696" t="s">
        <v>8</v>
      </c>
      <c r="D20" s="698" t="s">
        <v>51</v>
      </c>
      <c r="E20" s="700">
        <f>SUM($E$18:$E$19)</f>
        <v>0</v>
      </c>
      <c r="F20" s="696" t="s">
        <v>8</v>
      </c>
      <c r="G20" s="702" t="s">
        <v>8</v>
      </c>
      <c r="H20" s="682" t="s">
        <v>8</v>
      </c>
      <c r="I20" s="67" t="s">
        <v>8</v>
      </c>
      <c r="J20" s="67" t="s">
        <v>8</v>
      </c>
    </row>
    <row r="21" spans="1:10" ht="15.75" thickTop="1">
      <c r="A21" s="67" t="s">
        <v>8</v>
      </c>
      <c r="B21" s="684" t="s">
        <v>8</v>
      </c>
      <c r="C21" s="67" t="s">
        <v>8</v>
      </c>
      <c r="D21" s="67" t="s">
        <v>8</v>
      </c>
      <c r="E21" s="68" t="s">
        <v>8</v>
      </c>
      <c r="F21" s="67" t="s">
        <v>8</v>
      </c>
      <c r="G21" s="683" t="s">
        <v>8</v>
      </c>
      <c r="H21" s="67" t="s">
        <v>8</v>
      </c>
      <c r="I21" s="67" t="s">
        <v>8</v>
      </c>
      <c r="J21" s="67" t="s">
        <v>8</v>
      </c>
    </row>
    <row r="22" spans="1:10" ht="15.75" thickBot="1">
      <c r="A22" s="67" t="s">
        <v>8</v>
      </c>
      <c r="B22" s="684" t="s">
        <v>8</v>
      </c>
      <c r="C22" s="67" t="s">
        <v>8</v>
      </c>
      <c r="D22" s="67" t="s">
        <v>8</v>
      </c>
      <c r="E22" s="68" t="s">
        <v>8</v>
      </c>
      <c r="F22" s="67" t="s">
        <v>8</v>
      </c>
      <c r="G22" s="683" t="s">
        <v>8</v>
      </c>
      <c r="H22" s="67" t="s">
        <v>8</v>
      </c>
      <c r="I22" s="67" t="s">
        <v>8</v>
      </c>
      <c r="J22" s="67" t="s">
        <v>8</v>
      </c>
    </row>
    <row r="23" spans="1:10" ht="15.75" thickTop="1">
      <c r="A23" s="67" t="s">
        <v>8</v>
      </c>
      <c r="B23" s="706" t="s">
        <v>8</v>
      </c>
      <c r="C23" s="692" t="s">
        <v>8</v>
      </c>
      <c r="D23" s="697" t="s">
        <v>52</v>
      </c>
      <c r="E23" s="707" t="s">
        <v>8</v>
      </c>
      <c r="F23" s="692" t="s">
        <v>8</v>
      </c>
      <c r="G23" s="708" t="s">
        <v>8</v>
      </c>
      <c r="H23" s="679" t="s">
        <v>8</v>
      </c>
      <c r="I23" s="67" t="s">
        <v>8</v>
      </c>
      <c r="J23" s="67" t="s">
        <v>8</v>
      </c>
    </row>
    <row r="24" spans="1:10">
      <c r="A24" s="67" t="s">
        <v>8</v>
      </c>
      <c r="B24" s="693" t="s">
        <v>8</v>
      </c>
      <c r="C24" s="695" t="s">
        <v>8</v>
      </c>
      <c r="D24" s="695" t="s">
        <v>8</v>
      </c>
      <c r="E24" s="699" t="s">
        <v>8</v>
      </c>
      <c r="F24" s="695" t="s">
        <v>8</v>
      </c>
      <c r="G24" s="701" t="s">
        <v>8</v>
      </c>
      <c r="H24" s="687" t="s">
        <v>8</v>
      </c>
      <c r="I24" s="67" t="s">
        <v>8</v>
      </c>
      <c r="J24" s="67" t="s">
        <v>8</v>
      </c>
    </row>
    <row r="25" spans="1:10">
      <c r="A25" s="67" t="s">
        <v>8</v>
      </c>
      <c r="B25" s="693" t="s">
        <v>8</v>
      </c>
      <c r="C25" s="695" t="s">
        <v>8</v>
      </c>
      <c r="D25" s="695" t="s">
        <v>8</v>
      </c>
      <c r="E25" s="699" t="s">
        <v>8</v>
      </c>
      <c r="F25" s="695" t="s">
        <v>8</v>
      </c>
      <c r="G25" s="701" t="s">
        <v>8</v>
      </c>
      <c r="H25" s="687" t="s">
        <v>8</v>
      </c>
      <c r="I25" s="67" t="s">
        <v>8</v>
      </c>
      <c r="J25" s="67" t="s">
        <v>8</v>
      </c>
    </row>
    <row r="26" spans="1:10" ht="15.75" thickBot="1">
      <c r="A26" s="67" t="s">
        <v>8</v>
      </c>
      <c r="B26" s="694" t="s">
        <v>8</v>
      </c>
      <c r="C26" s="696" t="s">
        <v>8</v>
      </c>
      <c r="D26" s="698" t="s">
        <v>51</v>
      </c>
      <c r="E26" s="700">
        <f>SUM($E$24:$E$25)</f>
        <v>0</v>
      </c>
      <c r="F26" s="696" t="s">
        <v>8</v>
      </c>
      <c r="G26" s="702" t="s">
        <v>8</v>
      </c>
      <c r="H26" s="682" t="s">
        <v>8</v>
      </c>
      <c r="I26" s="67" t="s">
        <v>8</v>
      </c>
      <c r="J26" s="67" t="s">
        <v>8</v>
      </c>
    </row>
    <row r="27" spans="1:10" ht="15.75" thickTop="1">
      <c r="A27" s="67" t="s">
        <v>8</v>
      </c>
      <c r="B27" s="684" t="s">
        <v>8</v>
      </c>
      <c r="C27" s="67" t="s">
        <v>8</v>
      </c>
      <c r="D27" s="67" t="s">
        <v>8</v>
      </c>
      <c r="E27" s="68" t="s">
        <v>8</v>
      </c>
      <c r="F27" s="67" t="s">
        <v>8</v>
      </c>
      <c r="G27" s="683" t="s">
        <v>8</v>
      </c>
      <c r="H27" s="67" t="s">
        <v>8</v>
      </c>
      <c r="I27" s="67" t="s">
        <v>8</v>
      </c>
      <c r="J27" s="67" t="s">
        <v>8</v>
      </c>
    </row>
    <row r="28" spans="1:10" ht="15.75" thickBot="1">
      <c r="A28" s="67" t="s">
        <v>8</v>
      </c>
      <c r="B28" s="684" t="s">
        <v>8</v>
      </c>
      <c r="C28" s="67" t="s">
        <v>8</v>
      </c>
      <c r="D28" s="67" t="s">
        <v>8</v>
      </c>
      <c r="E28" s="68" t="s">
        <v>8</v>
      </c>
      <c r="F28" s="67" t="s">
        <v>8</v>
      </c>
      <c r="G28" s="683" t="s">
        <v>8</v>
      </c>
      <c r="H28" s="67" t="s">
        <v>8</v>
      </c>
      <c r="I28" s="67" t="s">
        <v>8</v>
      </c>
      <c r="J28" s="67" t="s">
        <v>8</v>
      </c>
    </row>
    <row r="29" spans="1:10" ht="15.75" thickTop="1">
      <c r="A29" s="67" t="s">
        <v>8</v>
      </c>
      <c r="B29" s="706" t="s">
        <v>8</v>
      </c>
      <c r="C29" s="692" t="s">
        <v>8</v>
      </c>
      <c r="D29" s="697" t="s">
        <v>85</v>
      </c>
      <c r="E29" s="707" t="s">
        <v>8</v>
      </c>
      <c r="F29" s="692" t="s">
        <v>8</v>
      </c>
      <c r="G29" s="708" t="s">
        <v>8</v>
      </c>
      <c r="H29" s="679" t="s">
        <v>8</v>
      </c>
      <c r="I29" s="67" t="s">
        <v>8</v>
      </c>
      <c r="J29" s="67" t="s">
        <v>8</v>
      </c>
    </row>
    <row r="30" spans="1:10">
      <c r="A30" s="67" t="s">
        <v>8</v>
      </c>
      <c r="B30" s="693" t="s">
        <v>8</v>
      </c>
      <c r="C30" s="695" t="s">
        <v>8</v>
      </c>
      <c r="D30" s="695" t="s">
        <v>8</v>
      </c>
      <c r="E30" s="699" t="s">
        <v>8</v>
      </c>
      <c r="F30" s="695" t="s">
        <v>8</v>
      </c>
      <c r="G30" s="701" t="s">
        <v>8</v>
      </c>
      <c r="H30" s="687" t="s">
        <v>8</v>
      </c>
      <c r="I30" s="67" t="s">
        <v>8</v>
      </c>
      <c r="J30" s="67" t="s">
        <v>8</v>
      </c>
    </row>
    <row r="31" spans="1:10">
      <c r="A31" s="67" t="s">
        <v>8</v>
      </c>
      <c r="B31" s="693" t="s">
        <v>8</v>
      </c>
      <c r="C31" s="695" t="s">
        <v>8</v>
      </c>
      <c r="D31" s="695" t="s">
        <v>8</v>
      </c>
      <c r="E31" s="699" t="s">
        <v>8</v>
      </c>
      <c r="F31" s="695" t="s">
        <v>8</v>
      </c>
      <c r="G31" s="701" t="s">
        <v>8</v>
      </c>
      <c r="H31" s="687" t="s">
        <v>8</v>
      </c>
      <c r="I31" s="67" t="s">
        <v>8</v>
      </c>
      <c r="J31" s="67" t="s">
        <v>8</v>
      </c>
    </row>
    <row r="32" spans="1:10" ht="15.75" thickBot="1">
      <c r="A32" s="67" t="s">
        <v>8</v>
      </c>
      <c r="B32" s="694" t="s">
        <v>8</v>
      </c>
      <c r="C32" s="696" t="s">
        <v>8</v>
      </c>
      <c r="D32" s="698" t="s">
        <v>51</v>
      </c>
      <c r="E32" s="700">
        <f>SUM($E$30:$E$31)</f>
        <v>0</v>
      </c>
      <c r="F32" s="696" t="s">
        <v>8</v>
      </c>
      <c r="G32" s="702" t="s">
        <v>8</v>
      </c>
      <c r="H32" s="682" t="s">
        <v>8</v>
      </c>
      <c r="I32" s="67" t="s">
        <v>8</v>
      </c>
      <c r="J32" s="67" t="s">
        <v>8</v>
      </c>
    </row>
    <row r="33" spans="1:10" ht="15.75" thickTop="1">
      <c r="A33" s="67" t="s">
        <v>8</v>
      </c>
      <c r="B33" s="684" t="s">
        <v>8</v>
      </c>
      <c r="C33" s="67" t="s">
        <v>8</v>
      </c>
      <c r="D33" s="67" t="s">
        <v>8</v>
      </c>
      <c r="E33" s="68" t="s">
        <v>8</v>
      </c>
      <c r="F33" s="67" t="s">
        <v>8</v>
      </c>
      <c r="G33" s="683" t="s">
        <v>8</v>
      </c>
      <c r="H33" s="67" t="s">
        <v>8</v>
      </c>
      <c r="I33" s="67" t="s">
        <v>8</v>
      </c>
      <c r="J33" s="67" t="s">
        <v>8</v>
      </c>
    </row>
    <row r="34" spans="1:10" ht="15.75" thickBot="1">
      <c r="A34" s="67" t="s">
        <v>8</v>
      </c>
      <c r="B34" s="684" t="s">
        <v>8</v>
      </c>
      <c r="C34" s="67" t="s">
        <v>8</v>
      </c>
      <c r="D34" s="67" t="s">
        <v>8</v>
      </c>
      <c r="E34" s="68" t="s">
        <v>8</v>
      </c>
      <c r="F34" s="67" t="s">
        <v>8</v>
      </c>
      <c r="G34" s="683" t="s">
        <v>8</v>
      </c>
      <c r="H34" s="67" t="s">
        <v>8</v>
      </c>
      <c r="I34" s="67" t="s">
        <v>8</v>
      </c>
      <c r="J34" s="67" t="s">
        <v>8</v>
      </c>
    </row>
    <row r="35" spans="1:10" ht="15.75" thickTop="1">
      <c r="A35" s="67" t="s">
        <v>8</v>
      </c>
      <c r="B35" s="706" t="s">
        <v>8</v>
      </c>
      <c r="C35" s="692" t="s">
        <v>8</v>
      </c>
      <c r="D35" s="697" t="s">
        <v>95</v>
      </c>
      <c r="E35" s="707" t="s">
        <v>8</v>
      </c>
      <c r="F35" s="692" t="s">
        <v>8</v>
      </c>
      <c r="G35" s="708" t="s">
        <v>8</v>
      </c>
      <c r="H35" s="679" t="s">
        <v>8</v>
      </c>
      <c r="I35" s="67" t="s">
        <v>8</v>
      </c>
      <c r="J35" s="67" t="s">
        <v>8</v>
      </c>
    </row>
    <row r="36" spans="1:10">
      <c r="A36" s="67" t="s">
        <v>8</v>
      </c>
      <c r="B36" s="693" t="s">
        <v>8</v>
      </c>
      <c r="C36" s="695" t="s">
        <v>8</v>
      </c>
      <c r="D36" s="695" t="s">
        <v>8</v>
      </c>
      <c r="E36" s="699" t="s">
        <v>8</v>
      </c>
      <c r="F36" s="695" t="s">
        <v>8</v>
      </c>
      <c r="G36" s="701" t="s">
        <v>8</v>
      </c>
      <c r="H36" s="687" t="s">
        <v>8</v>
      </c>
      <c r="I36" s="67" t="s">
        <v>8</v>
      </c>
      <c r="J36" s="67" t="s">
        <v>8</v>
      </c>
    </row>
    <row r="37" spans="1:10">
      <c r="A37" s="67" t="s">
        <v>8</v>
      </c>
      <c r="B37" s="693" t="s">
        <v>8</v>
      </c>
      <c r="C37" s="695" t="s">
        <v>8</v>
      </c>
      <c r="D37" s="695" t="s">
        <v>8</v>
      </c>
      <c r="E37" s="699" t="s">
        <v>8</v>
      </c>
      <c r="F37" s="695" t="s">
        <v>8</v>
      </c>
      <c r="G37" s="701" t="s">
        <v>8</v>
      </c>
      <c r="H37" s="687" t="s">
        <v>8</v>
      </c>
      <c r="I37" s="67" t="s">
        <v>8</v>
      </c>
      <c r="J37" s="67" t="s">
        <v>8</v>
      </c>
    </row>
    <row r="38" spans="1:10" ht="15.75" thickBot="1">
      <c r="A38" s="67" t="s">
        <v>8</v>
      </c>
      <c r="B38" s="694" t="s">
        <v>8</v>
      </c>
      <c r="C38" s="696" t="s">
        <v>8</v>
      </c>
      <c r="D38" s="698" t="s">
        <v>51</v>
      </c>
      <c r="E38" s="700">
        <f>SUM($E$36:$E$37)</f>
        <v>0</v>
      </c>
      <c r="F38" s="696" t="s">
        <v>8</v>
      </c>
      <c r="G38" s="702" t="s">
        <v>8</v>
      </c>
      <c r="H38" s="682" t="s">
        <v>8</v>
      </c>
      <c r="I38" s="67" t="s">
        <v>8</v>
      </c>
      <c r="J38" s="67" t="s">
        <v>8</v>
      </c>
    </row>
    <row r="39" spans="1:10" ht="16.5" thickTop="1" thickBot="1">
      <c r="A39" s="67" t="s">
        <v>8</v>
      </c>
      <c r="B39" s="684" t="s">
        <v>8</v>
      </c>
      <c r="C39" s="67" t="s">
        <v>8</v>
      </c>
      <c r="D39" s="67" t="s">
        <v>8</v>
      </c>
      <c r="E39" s="68" t="s">
        <v>8</v>
      </c>
      <c r="F39" s="67" t="s">
        <v>8</v>
      </c>
      <c r="G39" s="683" t="s">
        <v>8</v>
      </c>
      <c r="H39" s="67" t="s">
        <v>8</v>
      </c>
      <c r="I39" s="67" t="s">
        <v>8</v>
      </c>
      <c r="J39" s="67" t="s">
        <v>8</v>
      </c>
    </row>
    <row r="40" spans="1:10" ht="15.75" thickTop="1">
      <c r="A40" s="67" t="s">
        <v>8</v>
      </c>
      <c r="B40" s="703" t="s">
        <v>8</v>
      </c>
      <c r="C40" s="678" t="s">
        <v>8</v>
      </c>
      <c r="D40" s="678" t="s">
        <v>8</v>
      </c>
      <c r="E40" s="704" t="s">
        <v>8</v>
      </c>
      <c r="F40" s="678" t="s">
        <v>8</v>
      </c>
      <c r="G40" s="705" t="s">
        <v>8</v>
      </c>
      <c r="H40" s="679" t="s">
        <v>8</v>
      </c>
      <c r="I40" s="67" t="s">
        <v>8</v>
      </c>
      <c r="J40" s="67" t="s">
        <v>8</v>
      </c>
    </row>
    <row r="41" spans="1:10">
      <c r="A41" s="67" t="s">
        <v>8</v>
      </c>
      <c r="B41" s="686" t="s">
        <v>8</v>
      </c>
      <c r="C41" s="2017" t="s">
        <v>8</v>
      </c>
      <c r="D41" s="2019" t="s">
        <v>114</v>
      </c>
      <c r="E41" s="2018">
        <f>ABS(E13+$E$20-$E$38+$E$26-$E$32)</f>
        <v>14340</v>
      </c>
      <c r="F41" s="2017" t="s">
        <v>8</v>
      </c>
      <c r="G41" s="2021" t="s">
        <v>8</v>
      </c>
      <c r="H41" s="687" t="s">
        <v>8</v>
      </c>
      <c r="I41" s="67" t="s">
        <v>8</v>
      </c>
      <c r="J41" s="67" t="s">
        <v>8</v>
      </c>
    </row>
    <row r="42" spans="1:10">
      <c r="A42" s="67" t="s">
        <v>8</v>
      </c>
      <c r="B42" s="686" t="s">
        <v>8</v>
      </c>
      <c r="C42" s="2017" t="s">
        <v>8</v>
      </c>
      <c r="D42" s="2019" t="s">
        <v>115</v>
      </c>
      <c r="E42" s="2018">
        <v>14340</v>
      </c>
      <c r="F42" s="2017" t="s">
        <v>8</v>
      </c>
      <c r="G42" s="2021" t="s">
        <v>8</v>
      </c>
      <c r="H42" s="687" t="s">
        <v>8</v>
      </c>
      <c r="I42" s="67" t="s">
        <v>116</v>
      </c>
      <c r="J42" s="67" t="s">
        <v>8</v>
      </c>
    </row>
    <row r="43" spans="1:10" ht="15.75" thickBot="1">
      <c r="A43" s="67" t="s">
        <v>8</v>
      </c>
      <c r="B43" s="688" t="s">
        <v>8</v>
      </c>
      <c r="C43" s="681" t="s">
        <v>8</v>
      </c>
      <c r="D43" s="689" t="s">
        <v>117</v>
      </c>
      <c r="E43" s="690">
        <f>$E$42-$E$41</f>
        <v>0</v>
      </c>
      <c r="F43" s="681" t="s">
        <v>8</v>
      </c>
      <c r="G43" s="691" t="s">
        <v>8</v>
      </c>
      <c r="H43" s="682" t="s">
        <v>8</v>
      </c>
      <c r="I43" s="67" t="s">
        <v>8</v>
      </c>
      <c r="J43" s="67" t="s">
        <v>8</v>
      </c>
    </row>
    <row r="44" spans="1:10" ht="16.5" thickTop="1" thickBot="1">
      <c r="A44" s="67" t="s">
        <v>8</v>
      </c>
      <c r="B44" s="684" t="s">
        <v>8</v>
      </c>
      <c r="C44" s="67" t="s">
        <v>8</v>
      </c>
      <c r="D44" s="67" t="s">
        <v>8</v>
      </c>
      <c r="E44" s="68" t="s">
        <v>8</v>
      </c>
      <c r="F44" s="67" t="s">
        <v>8</v>
      </c>
      <c r="G44" s="683" t="s">
        <v>8</v>
      </c>
      <c r="H44" s="67" t="s">
        <v>8</v>
      </c>
      <c r="I44" s="67" t="s">
        <v>8</v>
      </c>
      <c r="J44" s="67" t="s">
        <v>8</v>
      </c>
    </row>
    <row r="45" spans="1:10" ht="15.75" thickTop="1">
      <c r="A45" s="67" t="s">
        <v>8</v>
      </c>
      <c r="B45" s="703" t="s">
        <v>8</v>
      </c>
      <c r="C45" s="678" t="s">
        <v>8</v>
      </c>
      <c r="D45" s="685" t="s">
        <v>118</v>
      </c>
      <c r="E45" s="709" t="s">
        <v>119</v>
      </c>
      <c r="F45" s="685" t="s">
        <v>120</v>
      </c>
      <c r="G45" s="705">
        <v>45981</v>
      </c>
      <c r="H45" s="679" t="s">
        <v>8</v>
      </c>
      <c r="I45" s="67" t="s">
        <v>8</v>
      </c>
      <c r="J45" s="67" t="s">
        <v>8</v>
      </c>
    </row>
    <row r="46" spans="1:10">
      <c r="A46" s="67" t="s">
        <v>8</v>
      </c>
      <c r="B46" s="686" t="s">
        <v>8</v>
      </c>
      <c r="C46" s="2017" t="s">
        <v>8</v>
      </c>
      <c r="D46" s="2017" t="s">
        <v>8</v>
      </c>
      <c r="E46" s="2020" t="s">
        <v>8</v>
      </c>
      <c r="F46" s="2017" t="s">
        <v>8</v>
      </c>
      <c r="G46" s="2021" t="s">
        <v>8</v>
      </c>
      <c r="H46" s="687" t="s">
        <v>8</v>
      </c>
      <c r="I46" s="67" t="s">
        <v>8</v>
      </c>
      <c r="J46" s="67" t="s">
        <v>8</v>
      </c>
    </row>
    <row r="47" spans="1:10">
      <c r="A47" s="67" t="s">
        <v>8</v>
      </c>
      <c r="B47" s="686" t="s">
        <v>8</v>
      </c>
      <c r="C47" s="2017" t="s">
        <v>8</v>
      </c>
      <c r="D47" s="2017" t="s">
        <v>8</v>
      </c>
      <c r="E47" s="2020" t="s">
        <v>8</v>
      </c>
      <c r="F47" s="2017" t="s">
        <v>8</v>
      </c>
      <c r="G47" s="2021" t="s">
        <v>8</v>
      </c>
      <c r="H47" s="687" t="s">
        <v>8</v>
      </c>
      <c r="I47" s="67" t="s">
        <v>8</v>
      </c>
      <c r="J47" s="67" t="s">
        <v>8</v>
      </c>
    </row>
    <row r="48" spans="1:10">
      <c r="A48" s="67" t="s">
        <v>8</v>
      </c>
      <c r="B48" s="686" t="s">
        <v>8</v>
      </c>
      <c r="C48" s="2017" t="s">
        <v>8</v>
      </c>
      <c r="D48" s="2019" t="s">
        <v>121</v>
      </c>
      <c r="E48" s="2018" t="s">
        <v>8</v>
      </c>
      <c r="F48" s="2019" t="s">
        <v>120</v>
      </c>
      <c r="G48" s="2021" t="s">
        <v>8</v>
      </c>
      <c r="H48" s="687" t="s">
        <v>8</v>
      </c>
      <c r="I48" s="67" t="s">
        <v>8</v>
      </c>
      <c r="J48" s="67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29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12</v>
      </c>
      <c r="J1" s="72" t="s">
        <v>13</v>
      </c>
    </row>
    <row r="2" spans="1:10">
      <c r="A2" s="70" t="s">
        <v>8</v>
      </c>
      <c r="B2" s="70" t="s">
        <v>8</v>
      </c>
      <c r="C2" s="70" t="s">
        <v>8</v>
      </c>
      <c r="D2" s="70" t="s">
        <v>8</v>
      </c>
      <c r="E2" s="70" t="s">
        <v>8</v>
      </c>
      <c r="F2" s="70" t="s">
        <v>8</v>
      </c>
      <c r="G2" s="70" t="s">
        <v>8</v>
      </c>
      <c r="H2" s="70" t="s">
        <v>8</v>
      </c>
      <c r="I2" s="70" t="s">
        <v>8</v>
      </c>
      <c r="J2" s="70" t="s">
        <v>8</v>
      </c>
    </row>
    <row r="3" spans="1:10" ht="15.75" thickBot="1">
      <c r="A3" s="70" t="s">
        <v>8</v>
      </c>
      <c r="B3" s="70" t="s">
        <v>8</v>
      </c>
      <c r="C3" s="70" t="s">
        <v>8</v>
      </c>
      <c r="D3" s="70" t="s">
        <v>8</v>
      </c>
      <c r="E3" s="70" t="s">
        <v>8</v>
      </c>
      <c r="F3" s="70" t="s">
        <v>8</v>
      </c>
      <c r="G3" s="70" t="s">
        <v>8</v>
      </c>
      <c r="H3" s="70" t="s">
        <v>8</v>
      </c>
      <c r="I3" s="70" t="s">
        <v>8</v>
      </c>
      <c r="J3" s="70" t="s">
        <v>8</v>
      </c>
    </row>
    <row r="4" spans="1:10" ht="16.5" thickTop="1" thickBot="1">
      <c r="A4" s="70" t="s">
        <v>8</v>
      </c>
      <c r="B4" s="70" t="s">
        <v>14</v>
      </c>
      <c r="C4" s="70" t="s">
        <v>8</v>
      </c>
      <c r="D4" s="711" t="s">
        <v>15</v>
      </c>
      <c r="E4" s="70" t="s">
        <v>16</v>
      </c>
      <c r="F4" s="711" t="s">
        <v>184</v>
      </c>
      <c r="G4" s="70" t="s">
        <v>8</v>
      </c>
      <c r="H4" s="70" t="s">
        <v>8</v>
      </c>
      <c r="I4" s="70" t="s">
        <v>8</v>
      </c>
      <c r="J4" s="70" t="s">
        <v>8</v>
      </c>
    </row>
    <row r="5" spans="1:10" ht="16.5" thickTop="1" thickBot="1">
      <c r="A5" s="70" t="s">
        <v>8</v>
      </c>
      <c r="B5" s="70" t="s">
        <v>8</v>
      </c>
      <c r="C5" s="70" t="s">
        <v>8</v>
      </c>
      <c r="D5" s="70" t="s">
        <v>8</v>
      </c>
      <c r="E5" s="70" t="s">
        <v>8</v>
      </c>
      <c r="F5" s="70" t="s">
        <v>8</v>
      </c>
      <c r="G5" s="70" t="s">
        <v>8</v>
      </c>
      <c r="H5" s="70" t="s">
        <v>8</v>
      </c>
      <c r="I5" s="70" t="s">
        <v>8</v>
      </c>
      <c r="J5" s="70" t="s">
        <v>8</v>
      </c>
    </row>
    <row r="6" spans="1:10" ht="16.5" thickTop="1" thickBot="1">
      <c r="A6" s="70" t="s">
        <v>8</v>
      </c>
      <c r="B6" s="70" t="s">
        <v>18</v>
      </c>
      <c r="C6" s="70" t="s">
        <v>8</v>
      </c>
      <c r="D6" s="711" t="s">
        <v>19</v>
      </c>
      <c r="E6" s="70" t="s">
        <v>20</v>
      </c>
      <c r="F6" s="711" t="s">
        <v>185</v>
      </c>
      <c r="G6" s="70" t="s">
        <v>8</v>
      </c>
      <c r="H6" s="70" t="s">
        <v>8</v>
      </c>
      <c r="I6" s="70" t="s">
        <v>8</v>
      </c>
      <c r="J6" s="70" t="s">
        <v>8</v>
      </c>
    </row>
    <row r="7" spans="1:10" ht="16.5" thickTop="1" thickBot="1">
      <c r="A7" s="70" t="s">
        <v>8</v>
      </c>
      <c r="B7" s="70" t="s">
        <v>8</v>
      </c>
      <c r="C7" s="70" t="s">
        <v>8</v>
      </c>
      <c r="D7" s="70" t="s">
        <v>8</v>
      </c>
      <c r="E7" s="70" t="s">
        <v>8</v>
      </c>
      <c r="F7" s="70" t="s">
        <v>8</v>
      </c>
      <c r="G7" s="70" t="s">
        <v>8</v>
      </c>
      <c r="H7" s="70" t="s">
        <v>8</v>
      </c>
      <c r="I7" s="70" t="s">
        <v>8</v>
      </c>
      <c r="J7" s="70" t="s">
        <v>8</v>
      </c>
    </row>
    <row r="8" spans="1:10" ht="16.5" thickTop="1" thickBot="1">
      <c r="A8" s="70" t="s">
        <v>8</v>
      </c>
      <c r="B8" s="70" t="s">
        <v>22</v>
      </c>
      <c r="C8" s="70" t="s">
        <v>8</v>
      </c>
      <c r="D8" s="711" t="s">
        <v>11</v>
      </c>
      <c r="E8" s="70" t="s">
        <v>23</v>
      </c>
      <c r="F8" s="711" t="s">
        <v>186</v>
      </c>
      <c r="G8" s="70" t="s">
        <v>8</v>
      </c>
      <c r="H8" s="70" t="s">
        <v>8</v>
      </c>
      <c r="I8" s="70" t="s">
        <v>8</v>
      </c>
      <c r="J8" s="70" t="s">
        <v>8</v>
      </c>
    </row>
    <row r="9" spans="1:10" ht="16.5" thickTop="1" thickBot="1">
      <c r="A9" s="70" t="s">
        <v>8</v>
      </c>
      <c r="B9" s="70" t="s">
        <v>8</v>
      </c>
      <c r="C9" s="70" t="s">
        <v>8</v>
      </c>
      <c r="D9" s="70" t="s">
        <v>8</v>
      </c>
      <c r="E9" s="70" t="s">
        <v>8</v>
      </c>
      <c r="F9" s="70" t="s">
        <v>8</v>
      </c>
      <c r="G9" s="70" t="s">
        <v>8</v>
      </c>
      <c r="H9" s="70" t="s">
        <v>8</v>
      </c>
      <c r="I9" s="70" t="s">
        <v>8</v>
      </c>
      <c r="J9" s="70" t="s">
        <v>8</v>
      </c>
    </row>
    <row r="10" spans="1:10" ht="16.5" thickTop="1" thickBot="1">
      <c r="A10" s="70" t="s">
        <v>8</v>
      </c>
      <c r="B10" s="70" t="s">
        <v>25</v>
      </c>
      <c r="C10" s="70" t="s">
        <v>8</v>
      </c>
      <c r="D10" s="711" t="s">
        <v>26</v>
      </c>
      <c r="E10" s="70" t="s">
        <v>8</v>
      </c>
      <c r="F10" s="70" t="s">
        <v>8</v>
      </c>
      <c r="G10" s="70" t="s">
        <v>8</v>
      </c>
      <c r="H10" s="70" t="s">
        <v>8</v>
      </c>
      <c r="I10" s="70" t="s">
        <v>8</v>
      </c>
      <c r="J10" s="70" t="s">
        <v>8</v>
      </c>
    </row>
    <row r="11" spans="1:10" ht="16.5" thickTop="1" thickBot="1">
      <c r="A11" s="70" t="s">
        <v>8</v>
      </c>
      <c r="B11" s="70" t="s">
        <v>8</v>
      </c>
      <c r="C11" s="70" t="s">
        <v>8</v>
      </c>
      <c r="D11" s="70" t="s">
        <v>8</v>
      </c>
      <c r="E11" s="70" t="s">
        <v>8</v>
      </c>
      <c r="F11" s="70" t="s">
        <v>8</v>
      </c>
      <c r="G11" s="70" t="s">
        <v>8</v>
      </c>
      <c r="H11" s="70" t="s">
        <v>8</v>
      </c>
      <c r="I11" s="70" t="s">
        <v>8</v>
      </c>
      <c r="J11" s="70" t="s">
        <v>8</v>
      </c>
    </row>
    <row r="12" spans="1:10" ht="16.5" thickTop="1" thickBot="1">
      <c r="A12" s="70" t="s">
        <v>8</v>
      </c>
      <c r="B12" s="712" t="s">
        <v>8</v>
      </c>
      <c r="C12" s="713" t="s">
        <v>8</v>
      </c>
      <c r="D12" s="713" t="s">
        <v>8</v>
      </c>
      <c r="E12" s="713" t="s">
        <v>8</v>
      </c>
      <c r="F12" s="713" t="s">
        <v>8</v>
      </c>
      <c r="G12" s="713" t="s">
        <v>8</v>
      </c>
      <c r="H12" s="714" t="s">
        <v>8</v>
      </c>
      <c r="I12" s="70" t="s">
        <v>8</v>
      </c>
      <c r="J12" s="70" t="s">
        <v>8</v>
      </c>
    </row>
    <row r="13" spans="1:10" ht="16.5" thickTop="1" thickBot="1">
      <c r="A13" s="70" t="s">
        <v>8</v>
      </c>
      <c r="B13" s="715" t="s">
        <v>8</v>
      </c>
      <c r="C13" s="710" t="s">
        <v>27</v>
      </c>
      <c r="D13" s="716" t="s">
        <v>28</v>
      </c>
      <c r="E13" s="725">
        <v>34296332.5</v>
      </c>
      <c r="F13" s="716" t="s">
        <v>8</v>
      </c>
      <c r="G13" s="716" t="s">
        <v>8</v>
      </c>
      <c r="H13" s="717" t="s">
        <v>8</v>
      </c>
      <c r="I13" s="70" t="s">
        <v>29</v>
      </c>
      <c r="J13" s="70" t="s">
        <v>8</v>
      </c>
    </row>
    <row r="14" spans="1:10" ht="16.5" thickTop="1" thickBot="1">
      <c r="A14" s="70" t="s">
        <v>8</v>
      </c>
      <c r="B14" s="70" t="s">
        <v>8</v>
      </c>
      <c r="C14" s="70" t="s">
        <v>8</v>
      </c>
      <c r="D14" s="70" t="s">
        <v>8</v>
      </c>
      <c r="E14" s="70" t="s">
        <v>8</v>
      </c>
      <c r="F14" s="70" t="s">
        <v>8</v>
      </c>
      <c r="G14" s="70" t="s">
        <v>8</v>
      </c>
      <c r="H14" s="70" t="s">
        <v>8</v>
      </c>
      <c r="I14" s="70" t="s">
        <v>8</v>
      </c>
      <c r="J14" s="70" t="s">
        <v>8</v>
      </c>
    </row>
    <row r="15" spans="1:10" ht="16.5" thickTop="1" thickBot="1">
      <c r="A15" s="70" t="s">
        <v>8</v>
      </c>
      <c r="B15" s="711" t="s">
        <v>30</v>
      </c>
      <c r="C15" s="710" t="s">
        <v>31</v>
      </c>
      <c r="D15" s="710" t="s">
        <v>32</v>
      </c>
      <c r="E15" s="710" t="s">
        <v>33</v>
      </c>
      <c r="F15" s="710" t="s">
        <v>34</v>
      </c>
      <c r="G15" s="710" t="s">
        <v>35</v>
      </c>
      <c r="H15" s="710" t="s">
        <v>36</v>
      </c>
      <c r="I15" s="70" t="s">
        <v>8</v>
      </c>
      <c r="J15" s="70" t="s">
        <v>8</v>
      </c>
    </row>
    <row r="16" spans="1:10" ht="16.5" thickTop="1" thickBot="1">
      <c r="A16" s="70" t="s">
        <v>8</v>
      </c>
      <c r="B16" s="70" t="s">
        <v>8</v>
      </c>
      <c r="C16" s="70" t="s">
        <v>8</v>
      </c>
      <c r="D16" s="70" t="s">
        <v>8</v>
      </c>
      <c r="E16" s="70" t="s">
        <v>8</v>
      </c>
      <c r="F16" s="70" t="s">
        <v>8</v>
      </c>
      <c r="G16" s="70" t="s">
        <v>8</v>
      </c>
      <c r="H16" s="70" t="s">
        <v>8</v>
      </c>
      <c r="I16" s="70" t="s">
        <v>8</v>
      </c>
      <c r="J16" s="70" t="s">
        <v>8</v>
      </c>
    </row>
    <row r="17" spans="1:10" ht="15.75" thickTop="1">
      <c r="A17" s="70" t="s">
        <v>8</v>
      </c>
      <c r="B17" s="727" t="s">
        <v>8</v>
      </c>
      <c r="C17" s="727" t="s">
        <v>8</v>
      </c>
      <c r="D17" s="732" t="s">
        <v>37</v>
      </c>
      <c r="E17" s="727" t="s">
        <v>8</v>
      </c>
      <c r="F17" s="727" t="s">
        <v>8</v>
      </c>
      <c r="G17" s="727" t="s">
        <v>8</v>
      </c>
      <c r="H17" s="714" t="s">
        <v>8</v>
      </c>
      <c r="I17" s="70" t="s">
        <v>8</v>
      </c>
      <c r="J17" s="70" t="s">
        <v>8</v>
      </c>
    </row>
    <row r="18" spans="1:10">
      <c r="A18" s="70" t="s">
        <v>8</v>
      </c>
      <c r="B18" s="728" t="s">
        <v>8</v>
      </c>
      <c r="C18" s="730" t="s">
        <v>8</v>
      </c>
      <c r="D18" s="730" t="s">
        <v>8</v>
      </c>
      <c r="E18" s="734" t="s">
        <v>8</v>
      </c>
      <c r="F18" s="730" t="s">
        <v>8</v>
      </c>
      <c r="G18" s="736" t="s">
        <v>8</v>
      </c>
      <c r="H18" s="722" t="s">
        <v>8</v>
      </c>
      <c r="I18" s="70" t="s">
        <v>8</v>
      </c>
      <c r="J18" s="70" t="s">
        <v>8</v>
      </c>
    </row>
    <row r="19" spans="1:10">
      <c r="A19" s="70" t="s">
        <v>8</v>
      </c>
      <c r="B19" s="728" t="s">
        <v>8</v>
      </c>
      <c r="C19" s="730" t="s">
        <v>8</v>
      </c>
      <c r="D19" s="730" t="s">
        <v>8</v>
      </c>
      <c r="E19" s="734" t="s">
        <v>8</v>
      </c>
      <c r="F19" s="730" t="s">
        <v>8</v>
      </c>
      <c r="G19" s="736" t="s">
        <v>8</v>
      </c>
      <c r="H19" s="722" t="s">
        <v>8</v>
      </c>
      <c r="I19" s="70" t="s">
        <v>8</v>
      </c>
      <c r="J19" s="70" t="s">
        <v>8</v>
      </c>
    </row>
    <row r="20" spans="1:10" ht="15.75" thickBot="1">
      <c r="A20" s="70" t="s">
        <v>8</v>
      </c>
      <c r="B20" s="729" t="s">
        <v>8</v>
      </c>
      <c r="C20" s="731" t="s">
        <v>8</v>
      </c>
      <c r="D20" s="733" t="s">
        <v>51</v>
      </c>
      <c r="E20" s="735">
        <f>SUM($E$18:$E$19)</f>
        <v>0</v>
      </c>
      <c r="F20" s="731" t="s">
        <v>8</v>
      </c>
      <c r="G20" s="737" t="s">
        <v>8</v>
      </c>
      <c r="H20" s="717" t="s">
        <v>8</v>
      </c>
      <c r="I20" s="70" t="s">
        <v>8</v>
      </c>
      <c r="J20" s="70" t="s">
        <v>8</v>
      </c>
    </row>
    <row r="21" spans="1:10" ht="15.75" thickTop="1">
      <c r="A21" s="70" t="s">
        <v>8</v>
      </c>
      <c r="B21" s="719" t="s">
        <v>8</v>
      </c>
      <c r="C21" s="70" t="s">
        <v>8</v>
      </c>
      <c r="D21" s="70" t="s">
        <v>8</v>
      </c>
      <c r="E21" s="71" t="s">
        <v>8</v>
      </c>
      <c r="F21" s="70" t="s">
        <v>8</v>
      </c>
      <c r="G21" s="718" t="s">
        <v>8</v>
      </c>
      <c r="H21" s="70" t="s">
        <v>8</v>
      </c>
      <c r="I21" s="70" t="s">
        <v>8</v>
      </c>
      <c r="J21" s="70" t="s">
        <v>8</v>
      </c>
    </row>
    <row r="22" spans="1:10" ht="15.75" thickBot="1">
      <c r="A22" s="70" t="s">
        <v>8</v>
      </c>
      <c r="B22" s="719" t="s">
        <v>8</v>
      </c>
      <c r="C22" s="70" t="s">
        <v>8</v>
      </c>
      <c r="D22" s="70" t="s">
        <v>8</v>
      </c>
      <c r="E22" s="71" t="s">
        <v>8</v>
      </c>
      <c r="F22" s="70" t="s">
        <v>8</v>
      </c>
      <c r="G22" s="718" t="s">
        <v>8</v>
      </c>
      <c r="H22" s="70" t="s">
        <v>8</v>
      </c>
      <c r="I22" s="70" t="s">
        <v>8</v>
      </c>
      <c r="J22" s="70" t="s">
        <v>8</v>
      </c>
    </row>
    <row r="23" spans="1:10" ht="15.75" thickTop="1">
      <c r="A23" s="70" t="s">
        <v>8</v>
      </c>
      <c r="B23" s="741" t="s">
        <v>8</v>
      </c>
      <c r="C23" s="727" t="s">
        <v>8</v>
      </c>
      <c r="D23" s="732" t="s">
        <v>52</v>
      </c>
      <c r="E23" s="742" t="s">
        <v>8</v>
      </c>
      <c r="F23" s="727" t="s">
        <v>8</v>
      </c>
      <c r="G23" s="743" t="s">
        <v>8</v>
      </c>
      <c r="H23" s="714" t="s">
        <v>8</v>
      </c>
      <c r="I23" s="70" t="s">
        <v>8</v>
      </c>
      <c r="J23" s="70" t="s">
        <v>8</v>
      </c>
    </row>
    <row r="24" spans="1:10">
      <c r="A24" s="70" t="s">
        <v>8</v>
      </c>
      <c r="B24" s="728" t="s">
        <v>8</v>
      </c>
      <c r="C24" s="730" t="s">
        <v>8</v>
      </c>
      <c r="D24" s="730" t="s">
        <v>8</v>
      </c>
      <c r="E24" s="734" t="s">
        <v>8</v>
      </c>
      <c r="F24" s="730" t="s">
        <v>8</v>
      </c>
      <c r="G24" s="736" t="s">
        <v>8</v>
      </c>
      <c r="H24" s="722" t="s">
        <v>8</v>
      </c>
      <c r="I24" s="70" t="s">
        <v>8</v>
      </c>
      <c r="J24" s="70" t="s">
        <v>8</v>
      </c>
    </row>
    <row r="25" spans="1:10">
      <c r="A25" s="70" t="s">
        <v>8</v>
      </c>
      <c r="B25" s="728" t="s">
        <v>8</v>
      </c>
      <c r="C25" s="730" t="s">
        <v>8</v>
      </c>
      <c r="D25" s="730" t="s">
        <v>8</v>
      </c>
      <c r="E25" s="734" t="s">
        <v>8</v>
      </c>
      <c r="F25" s="730" t="s">
        <v>8</v>
      </c>
      <c r="G25" s="736" t="s">
        <v>8</v>
      </c>
      <c r="H25" s="722" t="s">
        <v>8</v>
      </c>
      <c r="I25" s="70" t="s">
        <v>8</v>
      </c>
      <c r="J25" s="70" t="s">
        <v>8</v>
      </c>
    </row>
    <row r="26" spans="1:10" ht="15.75" thickBot="1">
      <c r="A26" s="70" t="s">
        <v>8</v>
      </c>
      <c r="B26" s="729" t="s">
        <v>8</v>
      </c>
      <c r="C26" s="731" t="s">
        <v>8</v>
      </c>
      <c r="D26" s="733" t="s">
        <v>51</v>
      </c>
      <c r="E26" s="735">
        <f>SUM($E$24:$E$25)</f>
        <v>0</v>
      </c>
      <c r="F26" s="731" t="s">
        <v>8</v>
      </c>
      <c r="G26" s="737" t="s">
        <v>8</v>
      </c>
      <c r="H26" s="717" t="s">
        <v>8</v>
      </c>
      <c r="I26" s="70" t="s">
        <v>8</v>
      </c>
      <c r="J26" s="70" t="s">
        <v>8</v>
      </c>
    </row>
    <row r="27" spans="1:10" ht="15.75" thickTop="1">
      <c r="A27" s="70" t="s">
        <v>8</v>
      </c>
      <c r="B27" s="719" t="s">
        <v>8</v>
      </c>
      <c r="C27" s="70" t="s">
        <v>8</v>
      </c>
      <c r="D27" s="70" t="s">
        <v>8</v>
      </c>
      <c r="E27" s="71" t="s">
        <v>8</v>
      </c>
      <c r="F27" s="70" t="s">
        <v>8</v>
      </c>
      <c r="G27" s="718" t="s">
        <v>8</v>
      </c>
      <c r="H27" s="70" t="s">
        <v>8</v>
      </c>
      <c r="I27" s="70" t="s">
        <v>8</v>
      </c>
      <c r="J27" s="70" t="s">
        <v>8</v>
      </c>
    </row>
    <row r="28" spans="1:10" ht="15.75" thickBot="1">
      <c r="A28" s="70" t="s">
        <v>8</v>
      </c>
      <c r="B28" s="719" t="s">
        <v>8</v>
      </c>
      <c r="C28" s="70" t="s">
        <v>8</v>
      </c>
      <c r="D28" s="70" t="s">
        <v>8</v>
      </c>
      <c r="E28" s="71" t="s">
        <v>8</v>
      </c>
      <c r="F28" s="70" t="s">
        <v>8</v>
      </c>
      <c r="G28" s="718" t="s">
        <v>8</v>
      </c>
      <c r="H28" s="70" t="s">
        <v>8</v>
      </c>
      <c r="I28" s="70" t="s">
        <v>8</v>
      </c>
      <c r="J28" s="70" t="s">
        <v>8</v>
      </c>
    </row>
    <row r="29" spans="1:10" ht="15.75" thickTop="1">
      <c r="A29" s="70" t="s">
        <v>8</v>
      </c>
      <c r="B29" s="741" t="s">
        <v>8</v>
      </c>
      <c r="C29" s="727" t="s">
        <v>8</v>
      </c>
      <c r="D29" s="732" t="s">
        <v>85</v>
      </c>
      <c r="E29" s="742" t="s">
        <v>8</v>
      </c>
      <c r="F29" s="727" t="s">
        <v>8</v>
      </c>
      <c r="G29" s="743" t="s">
        <v>8</v>
      </c>
      <c r="H29" s="714" t="s">
        <v>8</v>
      </c>
      <c r="I29" s="70" t="s">
        <v>8</v>
      </c>
      <c r="J29" s="70" t="s">
        <v>8</v>
      </c>
    </row>
    <row r="30" spans="1:10">
      <c r="A30" s="70" t="s">
        <v>8</v>
      </c>
      <c r="B30" s="728" t="s">
        <v>8</v>
      </c>
      <c r="C30" s="730" t="s">
        <v>8</v>
      </c>
      <c r="D30" s="730" t="s">
        <v>8</v>
      </c>
      <c r="E30" s="734" t="s">
        <v>8</v>
      </c>
      <c r="F30" s="730" t="s">
        <v>8</v>
      </c>
      <c r="G30" s="736" t="s">
        <v>8</v>
      </c>
      <c r="H30" s="722" t="s">
        <v>8</v>
      </c>
      <c r="I30" s="70" t="s">
        <v>8</v>
      </c>
      <c r="J30" s="70" t="s">
        <v>8</v>
      </c>
    </row>
    <row r="31" spans="1:10">
      <c r="A31" s="70" t="s">
        <v>8</v>
      </c>
      <c r="B31" s="728" t="s">
        <v>8</v>
      </c>
      <c r="C31" s="730" t="s">
        <v>8</v>
      </c>
      <c r="D31" s="730" t="s">
        <v>8</v>
      </c>
      <c r="E31" s="734" t="s">
        <v>8</v>
      </c>
      <c r="F31" s="730" t="s">
        <v>8</v>
      </c>
      <c r="G31" s="736" t="s">
        <v>8</v>
      </c>
      <c r="H31" s="722" t="s">
        <v>8</v>
      </c>
      <c r="I31" s="70" t="s">
        <v>8</v>
      </c>
      <c r="J31" s="70" t="s">
        <v>8</v>
      </c>
    </row>
    <row r="32" spans="1:10" ht="15.75" thickBot="1">
      <c r="A32" s="70" t="s">
        <v>8</v>
      </c>
      <c r="B32" s="729" t="s">
        <v>8</v>
      </c>
      <c r="C32" s="731" t="s">
        <v>8</v>
      </c>
      <c r="D32" s="733" t="s">
        <v>51</v>
      </c>
      <c r="E32" s="735">
        <f>SUM($E$30:$E$31)</f>
        <v>0</v>
      </c>
      <c r="F32" s="731" t="s">
        <v>8</v>
      </c>
      <c r="G32" s="737" t="s">
        <v>8</v>
      </c>
      <c r="H32" s="717" t="s">
        <v>8</v>
      </c>
      <c r="I32" s="70" t="s">
        <v>8</v>
      </c>
      <c r="J32" s="70" t="s">
        <v>8</v>
      </c>
    </row>
    <row r="33" spans="1:10" ht="15.75" thickTop="1">
      <c r="A33" s="70" t="s">
        <v>8</v>
      </c>
      <c r="B33" s="719" t="s">
        <v>8</v>
      </c>
      <c r="C33" s="70" t="s">
        <v>8</v>
      </c>
      <c r="D33" s="70" t="s">
        <v>8</v>
      </c>
      <c r="E33" s="71" t="s">
        <v>8</v>
      </c>
      <c r="F33" s="70" t="s">
        <v>8</v>
      </c>
      <c r="G33" s="718" t="s">
        <v>8</v>
      </c>
      <c r="H33" s="70" t="s">
        <v>8</v>
      </c>
      <c r="I33" s="70" t="s">
        <v>8</v>
      </c>
      <c r="J33" s="70" t="s">
        <v>8</v>
      </c>
    </row>
    <row r="34" spans="1:10" ht="15.75" thickBot="1">
      <c r="A34" s="70" t="s">
        <v>8</v>
      </c>
      <c r="B34" s="719" t="s">
        <v>8</v>
      </c>
      <c r="C34" s="70" t="s">
        <v>8</v>
      </c>
      <c r="D34" s="70" t="s">
        <v>8</v>
      </c>
      <c r="E34" s="71" t="s">
        <v>8</v>
      </c>
      <c r="F34" s="70" t="s">
        <v>8</v>
      </c>
      <c r="G34" s="718" t="s">
        <v>8</v>
      </c>
      <c r="H34" s="70" t="s">
        <v>8</v>
      </c>
      <c r="I34" s="70" t="s">
        <v>8</v>
      </c>
      <c r="J34" s="70" t="s">
        <v>8</v>
      </c>
    </row>
    <row r="35" spans="1:10" ht="15.75" thickTop="1">
      <c r="A35" s="70" t="s">
        <v>8</v>
      </c>
      <c r="B35" s="741" t="s">
        <v>8</v>
      </c>
      <c r="C35" s="727" t="s">
        <v>8</v>
      </c>
      <c r="D35" s="732" t="s">
        <v>95</v>
      </c>
      <c r="E35" s="742" t="s">
        <v>8</v>
      </c>
      <c r="F35" s="727" t="s">
        <v>8</v>
      </c>
      <c r="G35" s="743" t="s">
        <v>8</v>
      </c>
      <c r="H35" s="714" t="s">
        <v>8</v>
      </c>
      <c r="I35" s="70" t="s">
        <v>8</v>
      </c>
      <c r="J35" s="70" t="s">
        <v>8</v>
      </c>
    </row>
    <row r="36" spans="1:10">
      <c r="A36" s="70" t="s">
        <v>8</v>
      </c>
      <c r="B36" s="728" t="s">
        <v>8</v>
      </c>
      <c r="C36" s="730" t="s">
        <v>8</v>
      </c>
      <c r="D36" s="730" t="s">
        <v>8</v>
      </c>
      <c r="E36" s="734" t="s">
        <v>8</v>
      </c>
      <c r="F36" s="730" t="s">
        <v>8</v>
      </c>
      <c r="G36" s="736" t="s">
        <v>8</v>
      </c>
      <c r="H36" s="722" t="s">
        <v>8</v>
      </c>
      <c r="I36" s="70" t="s">
        <v>8</v>
      </c>
      <c r="J36" s="70" t="s">
        <v>8</v>
      </c>
    </row>
    <row r="37" spans="1:10">
      <c r="A37" s="70" t="s">
        <v>8</v>
      </c>
      <c r="B37" s="728" t="s">
        <v>8</v>
      </c>
      <c r="C37" s="730" t="s">
        <v>8</v>
      </c>
      <c r="D37" s="730" t="s">
        <v>8</v>
      </c>
      <c r="E37" s="734" t="s">
        <v>8</v>
      </c>
      <c r="F37" s="730" t="s">
        <v>8</v>
      </c>
      <c r="G37" s="736" t="s">
        <v>8</v>
      </c>
      <c r="H37" s="722" t="s">
        <v>8</v>
      </c>
      <c r="I37" s="70" t="s">
        <v>8</v>
      </c>
      <c r="J37" s="70" t="s">
        <v>8</v>
      </c>
    </row>
    <row r="38" spans="1:10" ht="15.75" thickBot="1">
      <c r="A38" s="70" t="s">
        <v>8</v>
      </c>
      <c r="B38" s="729" t="s">
        <v>8</v>
      </c>
      <c r="C38" s="731" t="s">
        <v>8</v>
      </c>
      <c r="D38" s="733" t="s">
        <v>51</v>
      </c>
      <c r="E38" s="735">
        <f>SUM($E$36:$E$37)</f>
        <v>0</v>
      </c>
      <c r="F38" s="731" t="s">
        <v>8</v>
      </c>
      <c r="G38" s="737" t="s">
        <v>8</v>
      </c>
      <c r="H38" s="717" t="s">
        <v>8</v>
      </c>
      <c r="I38" s="70" t="s">
        <v>8</v>
      </c>
      <c r="J38" s="70" t="s">
        <v>8</v>
      </c>
    </row>
    <row r="39" spans="1:10" ht="16.5" thickTop="1" thickBot="1">
      <c r="A39" s="70" t="s">
        <v>8</v>
      </c>
      <c r="B39" s="719" t="s">
        <v>8</v>
      </c>
      <c r="C39" s="70" t="s">
        <v>8</v>
      </c>
      <c r="D39" s="70" t="s">
        <v>8</v>
      </c>
      <c r="E39" s="71" t="s">
        <v>8</v>
      </c>
      <c r="F39" s="70" t="s">
        <v>8</v>
      </c>
      <c r="G39" s="718" t="s">
        <v>8</v>
      </c>
      <c r="H39" s="70" t="s">
        <v>8</v>
      </c>
      <c r="I39" s="70" t="s">
        <v>8</v>
      </c>
      <c r="J39" s="70" t="s">
        <v>8</v>
      </c>
    </row>
    <row r="40" spans="1:10" ht="15.75" thickTop="1">
      <c r="A40" s="70" t="s">
        <v>8</v>
      </c>
      <c r="B40" s="738" t="s">
        <v>8</v>
      </c>
      <c r="C40" s="713" t="s">
        <v>8</v>
      </c>
      <c r="D40" s="713" t="s">
        <v>8</v>
      </c>
      <c r="E40" s="739" t="s">
        <v>8</v>
      </c>
      <c r="F40" s="713" t="s">
        <v>8</v>
      </c>
      <c r="G40" s="740" t="s">
        <v>8</v>
      </c>
      <c r="H40" s="714" t="s">
        <v>8</v>
      </c>
      <c r="I40" s="70" t="s">
        <v>8</v>
      </c>
      <c r="J40" s="70" t="s">
        <v>8</v>
      </c>
    </row>
    <row r="41" spans="1:10">
      <c r="A41" s="70" t="s">
        <v>8</v>
      </c>
      <c r="B41" s="721" t="s">
        <v>8</v>
      </c>
      <c r="C41" s="2022" t="s">
        <v>8</v>
      </c>
      <c r="D41" s="2024" t="s">
        <v>114</v>
      </c>
      <c r="E41" s="2023">
        <f>ABS(E13+$E$20-$E$38+$E$26-$E$32)</f>
        <v>34296332.5</v>
      </c>
      <c r="F41" s="2022" t="s">
        <v>8</v>
      </c>
      <c r="G41" s="2026" t="s">
        <v>8</v>
      </c>
      <c r="H41" s="722" t="s">
        <v>8</v>
      </c>
      <c r="I41" s="70" t="s">
        <v>8</v>
      </c>
      <c r="J41" s="70" t="s">
        <v>8</v>
      </c>
    </row>
    <row r="42" spans="1:10">
      <c r="A42" s="70" t="s">
        <v>8</v>
      </c>
      <c r="B42" s="721" t="s">
        <v>8</v>
      </c>
      <c r="C42" s="2022" t="s">
        <v>8</v>
      </c>
      <c r="D42" s="2024" t="s">
        <v>115</v>
      </c>
      <c r="E42" s="2023">
        <v>34296332.5</v>
      </c>
      <c r="F42" s="2022" t="s">
        <v>8</v>
      </c>
      <c r="G42" s="2026" t="s">
        <v>8</v>
      </c>
      <c r="H42" s="722" t="s">
        <v>8</v>
      </c>
      <c r="I42" s="70" t="s">
        <v>116</v>
      </c>
      <c r="J42" s="70" t="s">
        <v>8</v>
      </c>
    </row>
    <row r="43" spans="1:10" ht="15.75" thickBot="1">
      <c r="A43" s="70" t="s">
        <v>8</v>
      </c>
      <c r="B43" s="723" t="s">
        <v>8</v>
      </c>
      <c r="C43" s="716" t="s">
        <v>8</v>
      </c>
      <c r="D43" s="724" t="s">
        <v>117</v>
      </c>
      <c r="E43" s="725">
        <f>$E$42-$E$41</f>
        <v>0</v>
      </c>
      <c r="F43" s="716" t="s">
        <v>8</v>
      </c>
      <c r="G43" s="726" t="s">
        <v>8</v>
      </c>
      <c r="H43" s="717" t="s">
        <v>8</v>
      </c>
      <c r="I43" s="70" t="s">
        <v>8</v>
      </c>
      <c r="J43" s="70" t="s">
        <v>8</v>
      </c>
    </row>
    <row r="44" spans="1:10" ht="16.5" thickTop="1" thickBot="1">
      <c r="A44" s="70" t="s">
        <v>8</v>
      </c>
      <c r="B44" s="719" t="s">
        <v>8</v>
      </c>
      <c r="C44" s="70" t="s">
        <v>8</v>
      </c>
      <c r="D44" s="70" t="s">
        <v>8</v>
      </c>
      <c r="E44" s="71" t="s">
        <v>8</v>
      </c>
      <c r="F44" s="70" t="s">
        <v>8</v>
      </c>
      <c r="G44" s="718" t="s">
        <v>8</v>
      </c>
      <c r="H44" s="70" t="s">
        <v>8</v>
      </c>
      <c r="I44" s="70" t="s">
        <v>8</v>
      </c>
      <c r="J44" s="70" t="s">
        <v>8</v>
      </c>
    </row>
    <row r="45" spans="1:10" ht="15.75" thickTop="1">
      <c r="A45" s="70" t="s">
        <v>8</v>
      </c>
      <c r="B45" s="738" t="s">
        <v>8</v>
      </c>
      <c r="C45" s="713" t="s">
        <v>8</v>
      </c>
      <c r="D45" s="720" t="s">
        <v>118</v>
      </c>
      <c r="E45" s="744" t="s">
        <v>119</v>
      </c>
      <c r="F45" s="720" t="s">
        <v>120</v>
      </c>
      <c r="G45" s="740">
        <v>45981</v>
      </c>
      <c r="H45" s="714" t="s">
        <v>8</v>
      </c>
      <c r="I45" s="70" t="s">
        <v>8</v>
      </c>
      <c r="J45" s="70" t="s">
        <v>8</v>
      </c>
    </row>
    <row r="46" spans="1:10">
      <c r="A46" s="70" t="s">
        <v>8</v>
      </c>
      <c r="B46" s="721" t="s">
        <v>8</v>
      </c>
      <c r="C46" s="2022" t="s">
        <v>8</v>
      </c>
      <c r="D46" s="2022" t="s">
        <v>8</v>
      </c>
      <c r="E46" s="2025" t="s">
        <v>8</v>
      </c>
      <c r="F46" s="2022" t="s">
        <v>8</v>
      </c>
      <c r="G46" s="2026" t="s">
        <v>8</v>
      </c>
      <c r="H46" s="722" t="s">
        <v>8</v>
      </c>
      <c r="I46" s="70" t="s">
        <v>8</v>
      </c>
      <c r="J46" s="70" t="s">
        <v>8</v>
      </c>
    </row>
    <row r="47" spans="1:10">
      <c r="A47" s="70" t="s">
        <v>8</v>
      </c>
      <c r="B47" s="721" t="s">
        <v>8</v>
      </c>
      <c r="C47" s="2022" t="s">
        <v>8</v>
      </c>
      <c r="D47" s="2022" t="s">
        <v>8</v>
      </c>
      <c r="E47" s="2025" t="s">
        <v>8</v>
      </c>
      <c r="F47" s="2022" t="s">
        <v>8</v>
      </c>
      <c r="G47" s="2026" t="s">
        <v>8</v>
      </c>
      <c r="H47" s="722" t="s">
        <v>8</v>
      </c>
      <c r="I47" s="70" t="s">
        <v>8</v>
      </c>
      <c r="J47" s="70" t="s">
        <v>8</v>
      </c>
    </row>
    <row r="48" spans="1:10">
      <c r="A48" s="70" t="s">
        <v>8</v>
      </c>
      <c r="B48" s="721" t="s">
        <v>8</v>
      </c>
      <c r="C48" s="2022" t="s">
        <v>8</v>
      </c>
      <c r="D48" s="2024" t="s">
        <v>121</v>
      </c>
      <c r="E48" s="2023" t="s">
        <v>8</v>
      </c>
      <c r="F48" s="2024" t="s">
        <v>120</v>
      </c>
      <c r="G48" s="2026" t="s">
        <v>8</v>
      </c>
      <c r="H48" s="722" t="s">
        <v>8</v>
      </c>
      <c r="I48" s="70" t="s">
        <v>8</v>
      </c>
      <c r="J48" s="70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29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12</v>
      </c>
      <c r="J1" s="75" t="s">
        <v>13</v>
      </c>
    </row>
    <row r="2" spans="1:10">
      <c r="A2" s="73" t="s">
        <v>8</v>
      </c>
      <c r="B2" s="73" t="s">
        <v>8</v>
      </c>
      <c r="C2" s="73" t="s">
        <v>8</v>
      </c>
      <c r="D2" s="73" t="s">
        <v>8</v>
      </c>
      <c r="E2" s="73" t="s">
        <v>8</v>
      </c>
      <c r="F2" s="73" t="s">
        <v>8</v>
      </c>
      <c r="G2" s="73" t="s">
        <v>8</v>
      </c>
      <c r="H2" s="73" t="s">
        <v>8</v>
      </c>
      <c r="I2" s="73" t="s">
        <v>8</v>
      </c>
      <c r="J2" s="73" t="s">
        <v>8</v>
      </c>
    </row>
    <row r="3" spans="1:10" ht="15.75" thickBot="1">
      <c r="A3" s="73" t="s">
        <v>8</v>
      </c>
      <c r="B3" s="73" t="s">
        <v>8</v>
      </c>
      <c r="C3" s="73" t="s">
        <v>8</v>
      </c>
      <c r="D3" s="73" t="s">
        <v>8</v>
      </c>
      <c r="E3" s="73" t="s">
        <v>8</v>
      </c>
      <c r="F3" s="73" t="s">
        <v>8</v>
      </c>
      <c r="G3" s="73" t="s">
        <v>8</v>
      </c>
      <c r="H3" s="73" t="s">
        <v>8</v>
      </c>
      <c r="I3" s="73" t="s">
        <v>8</v>
      </c>
      <c r="J3" s="73" t="s">
        <v>8</v>
      </c>
    </row>
    <row r="4" spans="1:10" ht="16.5" thickTop="1" thickBot="1">
      <c r="A4" s="73" t="s">
        <v>8</v>
      </c>
      <c r="B4" s="73" t="s">
        <v>14</v>
      </c>
      <c r="C4" s="73" t="s">
        <v>8</v>
      </c>
      <c r="D4" s="746" t="s">
        <v>15</v>
      </c>
      <c r="E4" s="73" t="s">
        <v>16</v>
      </c>
      <c r="F4" s="746" t="s">
        <v>187</v>
      </c>
      <c r="G4" s="73" t="s">
        <v>8</v>
      </c>
      <c r="H4" s="73" t="s">
        <v>8</v>
      </c>
      <c r="I4" s="73" t="s">
        <v>8</v>
      </c>
      <c r="J4" s="73" t="s">
        <v>8</v>
      </c>
    </row>
    <row r="5" spans="1:10" ht="16.5" thickTop="1" thickBot="1">
      <c r="A5" s="73" t="s">
        <v>8</v>
      </c>
      <c r="B5" s="73" t="s">
        <v>8</v>
      </c>
      <c r="C5" s="73" t="s">
        <v>8</v>
      </c>
      <c r="D5" s="73" t="s">
        <v>8</v>
      </c>
      <c r="E5" s="73" t="s">
        <v>8</v>
      </c>
      <c r="F5" s="73" t="s">
        <v>8</v>
      </c>
      <c r="G5" s="73" t="s">
        <v>8</v>
      </c>
      <c r="H5" s="73" t="s">
        <v>8</v>
      </c>
      <c r="I5" s="73" t="s">
        <v>8</v>
      </c>
      <c r="J5" s="73" t="s">
        <v>8</v>
      </c>
    </row>
    <row r="6" spans="1:10" ht="16.5" thickTop="1" thickBot="1">
      <c r="A6" s="73" t="s">
        <v>8</v>
      </c>
      <c r="B6" s="73" t="s">
        <v>18</v>
      </c>
      <c r="C6" s="73" t="s">
        <v>8</v>
      </c>
      <c r="D6" s="746" t="s">
        <v>19</v>
      </c>
      <c r="E6" s="73" t="s">
        <v>20</v>
      </c>
      <c r="F6" s="746" t="s">
        <v>188</v>
      </c>
      <c r="G6" s="73" t="s">
        <v>8</v>
      </c>
      <c r="H6" s="73" t="s">
        <v>8</v>
      </c>
      <c r="I6" s="73" t="s">
        <v>8</v>
      </c>
      <c r="J6" s="73" t="s">
        <v>8</v>
      </c>
    </row>
    <row r="7" spans="1:10" ht="16.5" thickTop="1" thickBot="1">
      <c r="A7" s="73" t="s">
        <v>8</v>
      </c>
      <c r="B7" s="73" t="s">
        <v>8</v>
      </c>
      <c r="C7" s="73" t="s">
        <v>8</v>
      </c>
      <c r="D7" s="73" t="s">
        <v>8</v>
      </c>
      <c r="E7" s="73" t="s">
        <v>8</v>
      </c>
      <c r="F7" s="73" t="s">
        <v>8</v>
      </c>
      <c r="G7" s="73" t="s">
        <v>8</v>
      </c>
      <c r="H7" s="73" t="s">
        <v>8</v>
      </c>
      <c r="I7" s="73" t="s">
        <v>8</v>
      </c>
      <c r="J7" s="73" t="s">
        <v>8</v>
      </c>
    </row>
    <row r="8" spans="1:10" ht="16.5" thickTop="1" thickBot="1">
      <c r="A8" s="73" t="s">
        <v>8</v>
      </c>
      <c r="B8" s="73" t="s">
        <v>22</v>
      </c>
      <c r="C8" s="73" t="s">
        <v>8</v>
      </c>
      <c r="D8" s="746" t="s">
        <v>11</v>
      </c>
      <c r="E8" s="73" t="s">
        <v>23</v>
      </c>
      <c r="F8" s="746" t="s">
        <v>189</v>
      </c>
      <c r="G8" s="73" t="s">
        <v>8</v>
      </c>
      <c r="H8" s="73" t="s">
        <v>8</v>
      </c>
      <c r="I8" s="73" t="s">
        <v>8</v>
      </c>
      <c r="J8" s="73" t="s">
        <v>8</v>
      </c>
    </row>
    <row r="9" spans="1:10" ht="16.5" thickTop="1" thickBot="1">
      <c r="A9" s="73" t="s">
        <v>8</v>
      </c>
      <c r="B9" s="73" t="s">
        <v>8</v>
      </c>
      <c r="C9" s="73" t="s">
        <v>8</v>
      </c>
      <c r="D9" s="73" t="s">
        <v>8</v>
      </c>
      <c r="E9" s="73" t="s">
        <v>8</v>
      </c>
      <c r="F9" s="73" t="s">
        <v>8</v>
      </c>
      <c r="G9" s="73" t="s">
        <v>8</v>
      </c>
      <c r="H9" s="73" t="s">
        <v>8</v>
      </c>
      <c r="I9" s="73" t="s">
        <v>8</v>
      </c>
      <c r="J9" s="73" t="s">
        <v>8</v>
      </c>
    </row>
    <row r="10" spans="1:10" ht="16.5" thickTop="1" thickBot="1">
      <c r="A10" s="73" t="s">
        <v>8</v>
      </c>
      <c r="B10" s="73" t="s">
        <v>25</v>
      </c>
      <c r="C10" s="73" t="s">
        <v>8</v>
      </c>
      <c r="D10" s="746" t="s">
        <v>26</v>
      </c>
      <c r="E10" s="73" t="s">
        <v>8</v>
      </c>
      <c r="F10" s="73" t="s">
        <v>8</v>
      </c>
      <c r="G10" s="73" t="s">
        <v>8</v>
      </c>
      <c r="H10" s="73" t="s">
        <v>8</v>
      </c>
      <c r="I10" s="73" t="s">
        <v>8</v>
      </c>
      <c r="J10" s="73" t="s">
        <v>8</v>
      </c>
    </row>
    <row r="11" spans="1:10" ht="16.5" thickTop="1" thickBot="1">
      <c r="A11" s="73" t="s">
        <v>8</v>
      </c>
      <c r="B11" s="73" t="s">
        <v>8</v>
      </c>
      <c r="C11" s="73" t="s">
        <v>8</v>
      </c>
      <c r="D11" s="73" t="s">
        <v>8</v>
      </c>
      <c r="E11" s="73" t="s">
        <v>8</v>
      </c>
      <c r="F11" s="73" t="s">
        <v>8</v>
      </c>
      <c r="G11" s="73" t="s">
        <v>8</v>
      </c>
      <c r="H11" s="73" t="s">
        <v>8</v>
      </c>
      <c r="I11" s="73" t="s">
        <v>8</v>
      </c>
      <c r="J11" s="73" t="s">
        <v>8</v>
      </c>
    </row>
    <row r="12" spans="1:10" ht="16.5" thickTop="1" thickBot="1">
      <c r="A12" s="73" t="s">
        <v>8</v>
      </c>
      <c r="B12" s="747" t="s">
        <v>8</v>
      </c>
      <c r="C12" s="748" t="s">
        <v>8</v>
      </c>
      <c r="D12" s="748" t="s">
        <v>8</v>
      </c>
      <c r="E12" s="748" t="s">
        <v>8</v>
      </c>
      <c r="F12" s="748" t="s">
        <v>8</v>
      </c>
      <c r="G12" s="748" t="s">
        <v>8</v>
      </c>
      <c r="H12" s="749" t="s">
        <v>8</v>
      </c>
      <c r="I12" s="73" t="s">
        <v>8</v>
      </c>
      <c r="J12" s="73" t="s">
        <v>8</v>
      </c>
    </row>
    <row r="13" spans="1:10" ht="16.5" thickTop="1" thickBot="1">
      <c r="A13" s="73" t="s">
        <v>8</v>
      </c>
      <c r="B13" s="750" t="s">
        <v>8</v>
      </c>
      <c r="C13" s="745" t="s">
        <v>190</v>
      </c>
      <c r="D13" s="751" t="s">
        <v>28</v>
      </c>
      <c r="E13" s="760">
        <v>76000</v>
      </c>
      <c r="F13" s="751" t="s">
        <v>8</v>
      </c>
      <c r="G13" s="751" t="s">
        <v>8</v>
      </c>
      <c r="H13" s="752" t="s">
        <v>8</v>
      </c>
      <c r="I13" s="73" t="s">
        <v>29</v>
      </c>
      <c r="J13" s="73" t="s">
        <v>8</v>
      </c>
    </row>
    <row r="14" spans="1:10" ht="16.5" thickTop="1" thickBot="1">
      <c r="A14" s="73" t="s">
        <v>8</v>
      </c>
      <c r="B14" s="73" t="s">
        <v>8</v>
      </c>
      <c r="C14" s="73" t="s">
        <v>8</v>
      </c>
      <c r="D14" s="73" t="s">
        <v>8</v>
      </c>
      <c r="E14" s="73" t="s">
        <v>8</v>
      </c>
      <c r="F14" s="73" t="s">
        <v>8</v>
      </c>
      <c r="G14" s="73" t="s">
        <v>8</v>
      </c>
      <c r="H14" s="73" t="s">
        <v>8</v>
      </c>
      <c r="I14" s="73" t="s">
        <v>8</v>
      </c>
      <c r="J14" s="73" t="s">
        <v>8</v>
      </c>
    </row>
    <row r="15" spans="1:10" ht="16.5" thickTop="1" thickBot="1">
      <c r="A15" s="73" t="s">
        <v>8</v>
      </c>
      <c r="B15" s="746" t="s">
        <v>30</v>
      </c>
      <c r="C15" s="745" t="s">
        <v>31</v>
      </c>
      <c r="D15" s="745" t="s">
        <v>32</v>
      </c>
      <c r="E15" s="745" t="s">
        <v>33</v>
      </c>
      <c r="F15" s="745" t="s">
        <v>34</v>
      </c>
      <c r="G15" s="745" t="s">
        <v>35</v>
      </c>
      <c r="H15" s="745" t="s">
        <v>36</v>
      </c>
      <c r="I15" s="73" t="s">
        <v>8</v>
      </c>
      <c r="J15" s="73" t="s">
        <v>8</v>
      </c>
    </row>
    <row r="16" spans="1:10" ht="16.5" thickTop="1" thickBot="1">
      <c r="A16" s="73" t="s">
        <v>8</v>
      </c>
      <c r="B16" s="73" t="s">
        <v>8</v>
      </c>
      <c r="C16" s="73" t="s">
        <v>8</v>
      </c>
      <c r="D16" s="73" t="s">
        <v>8</v>
      </c>
      <c r="E16" s="73" t="s">
        <v>8</v>
      </c>
      <c r="F16" s="73" t="s">
        <v>8</v>
      </c>
      <c r="G16" s="73" t="s">
        <v>8</v>
      </c>
      <c r="H16" s="73" t="s">
        <v>8</v>
      </c>
      <c r="I16" s="73" t="s">
        <v>8</v>
      </c>
      <c r="J16" s="73" t="s">
        <v>8</v>
      </c>
    </row>
    <row r="17" spans="1:10" ht="15.75" thickTop="1">
      <c r="A17" s="73" t="s">
        <v>8</v>
      </c>
      <c r="B17" s="762" t="s">
        <v>8</v>
      </c>
      <c r="C17" s="762" t="s">
        <v>8</v>
      </c>
      <c r="D17" s="767" t="s">
        <v>37</v>
      </c>
      <c r="E17" s="762" t="s">
        <v>8</v>
      </c>
      <c r="F17" s="762" t="s">
        <v>8</v>
      </c>
      <c r="G17" s="762" t="s">
        <v>8</v>
      </c>
      <c r="H17" s="749" t="s">
        <v>8</v>
      </c>
      <c r="I17" s="73" t="s">
        <v>8</v>
      </c>
      <c r="J17" s="73" t="s">
        <v>8</v>
      </c>
    </row>
    <row r="18" spans="1:10">
      <c r="A18" s="73" t="s">
        <v>8</v>
      </c>
      <c r="B18" s="763" t="s">
        <v>8</v>
      </c>
      <c r="C18" s="765" t="s">
        <v>8</v>
      </c>
      <c r="D18" s="765" t="s">
        <v>8</v>
      </c>
      <c r="E18" s="769" t="s">
        <v>8</v>
      </c>
      <c r="F18" s="765" t="s">
        <v>8</v>
      </c>
      <c r="G18" s="771" t="s">
        <v>8</v>
      </c>
      <c r="H18" s="757" t="s">
        <v>8</v>
      </c>
      <c r="I18" s="73" t="s">
        <v>8</v>
      </c>
      <c r="J18" s="73" t="s">
        <v>8</v>
      </c>
    </row>
    <row r="19" spans="1:10">
      <c r="A19" s="73" t="s">
        <v>8</v>
      </c>
      <c r="B19" s="763" t="s">
        <v>8</v>
      </c>
      <c r="C19" s="765" t="s">
        <v>8</v>
      </c>
      <c r="D19" s="765" t="s">
        <v>8</v>
      </c>
      <c r="E19" s="769" t="s">
        <v>8</v>
      </c>
      <c r="F19" s="765" t="s">
        <v>8</v>
      </c>
      <c r="G19" s="771" t="s">
        <v>8</v>
      </c>
      <c r="H19" s="757" t="s">
        <v>8</v>
      </c>
      <c r="I19" s="73" t="s">
        <v>8</v>
      </c>
      <c r="J19" s="73" t="s">
        <v>8</v>
      </c>
    </row>
    <row r="20" spans="1:10" ht="15.75" thickBot="1">
      <c r="A20" s="73" t="s">
        <v>8</v>
      </c>
      <c r="B20" s="764" t="s">
        <v>8</v>
      </c>
      <c r="C20" s="766" t="s">
        <v>8</v>
      </c>
      <c r="D20" s="768" t="s">
        <v>51</v>
      </c>
      <c r="E20" s="770">
        <f>SUM($E$18:$E$19)</f>
        <v>0</v>
      </c>
      <c r="F20" s="766" t="s">
        <v>8</v>
      </c>
      <c r="G20" s="772" t="s">
        <v>8</v>
      </c>
      <c r="H20" s="752" t="s">
        <v>8</v>
      </c>
      <c r="I20" s="73" t="s">
        <v>8</v>
      </c>
      <c r="J20" s="73" t="s">
        <v>8</v>
      </c>
    </row>
    <row r="21" spans="1:10" ht="15.75" thickTop="1">
      <c r="A21" s="73" t="s">
        <v>8</v>
      </c>
      <c r="B21" s="754" t="s">
        <v>8</v>
      </c>
      <c r="C21" s="73" t="s">
        <v>8</v>
      </c>
      <c r="D21" s="73" t="s">
        <v>8</v>
      </c>
      <c r="E21" s="74" t="s">
        <v>8</v>
      </c>
      <c r="F21" s="73" t="s">
        <v>8</v>
      </c>
      <c r="G21" s="753" t="s">
        <v>8</v>
      </c>
      <c r="H21" s="73" t="s">
        <v>8</v>
      </c>
      <c r="I21" s="73" t="s">
        <v>8</v>
      </c>
      <c r="J21" s="73" t="s">
        <v>8</v>
      </c>
    </row>
    <row r="22" spans="1:10" ht="15.75" thickBot="1">
      <c r="A22" s="73" t="s">
        <v>8</v>
      </c>
      <c r="B22" s="754" t="s">
        <v>8</v>
      </c>
      <c r="C22" s="73" t="s">
        <v>8</v>
      </c>
      <c r="D22" s="73" t="s">
        <v>8</v>
      </c>
      <c r="E22" s="74" t="s">
        <v>8</v>
      </c>
      <c r="F22" s="73" t="s">
        <v>8</v>
      </c>
      <c r="G22" s="753" t="s">
        <v>8</v>
      </c>
      <c r="H22" s="73" t="s">
        <v>8</v>
      </c>
      <c r="I22" s="73" t="s">
        <v>8</v>
      </c>
      <c r="J22" s="73" t="s">
        <v>8</v>
      </c>
    </row>
    <row r="23" spans="1:10" ht="15.75" thickTop="1">
      <c r="A23" s="73" t="s">
        <v>8</v>
      </c>
      <c r="B23" s="776" t="s">
        <v>8</v>
      </c>
      <c r="C23" s="762" t="s">
        <v>8</v>
      </c>
      <c r="D23" s="767" t="s">
        <v>52</v>
      </c>
      <c r="E23" s="777" t="s">
        <v>8</v>
      </c>
      <c r="F23" s="762" t="s">
        <v>8</v>
      </c>
      <c r="G23" s="778" t="s">
        <v>8</v>
      </c>
      <c r="H23" s="749" t="s">
        <v>8</v>
      </c>
      <c r="I23" s="73" t="s">
        <v>8</v>
      </c>
      <c r="J23" s="73" t="s">
        <v>8</v>
      </c>
    </row>
    <row r="24" spans="1:10">
      <c r="A24" s="73" t="s">
        <v>8</v>
      </c>
      <c r="B24" s="763" t="s">
        <v>8</v>
      </c>
      <c r="C24" s="765" t="s">
        <v>8</v>
      </c>
      <c r="D24" s="765" t="s">
        <v>8</v>
      </c>
      <c r="E24" s="769" t="s">
        <v>8</v>
      </c>
      <c r="F24" s="765" t="s">
        <v>8</v>
      </c>
      <c r="G24" s="771" t="s">
        <v>8</v>
      </c>
      <c r="H24" s="757" t="s">
        <v>8</v>
      </c>
      <c r="I24" s="73" t="s">
        <v>8</v>
      </c>
      <c r="J24" s="73" t="s">
        <v>8</v>
      </c>
    </row>
    <row r="25" spans="1:10">
      <c r="A25" s="73" t="s">
        <v>8</v>
      </c>
      <c r="B25" s="763" t="s">
        <v>8</v>
      </c>
      <c r="C25" s="765" t="s">
        <v>8</v>
      </c>
      <c r="D25" s="765" t="s">
        <v>8</v>
      </c>
      <c r="E25" s="769" t="s">
        <v>8</v>
      </c>
      <c r="F25" s="765" t="s">
        <v>8</v>
      </c>
      <c r="G25" s="771" t="s">
        <v>8</v>
      </c>
      <c r="H25" s="757" t="s">
        <v>8</v>
      </c>
      <c r="I25" s="73" t="s">
        <v>8</v>
      </c>
      <c r="J25" s="73" t="s">
        <v>8</v>
      </c>
    </row>
    <row r="26" spans="1:10" ht="15.75" thickBot="1">
      <c r="A26" s="73" t="s">
        <v>8</v>
      </c>
      <c r="B26" s="764" t="s">
        <v>8</v>
      </c>
      <c r="C26" s="766" t="s">
        <v>8</v>
      </c>
      <c r="D26" s="768" t="s">
        <v>51</v>
      </c>
      <c r="E26" s="770">
        <f>SUM($E$24:$E$25)</f>
        <v>0</v>
      </c>
      <c r="F26" s="766" t="s">
        <v>8</v>
      </c>
      <c r="G26" s="772" t="s">
        <v>8</v>
      </c>
      <c r="H26" s="752" t="s">
        <v>8</v>
      </c>
      <c r="I26" s="73" t="s">
        <v>8</v>
      </c>
      <c r="J26" s="73" t="s">
        <v>8</v>
      </c>
    </row>
    <row r="27" spans="1:10" ht="15.75" thickTop="1">
      <c r="A27" s="73" t="s">
        <v>8</v>
      </c>
      <c r="B27" s="754" t="s">
        <v>8</v>
      </c>
      <c r="C27" s="73" t="s">
        <v>8</v>
      </c>
      <c r="D27" s="73" t="s">
        <v>8</v>
      </c>
      <c r="E27" s="74" t="s">
        <v>8</v>
      </c>
      <c r="F27" s="73" t="s">
        <v>8</v>
      </c>
      <c r="G27" s="753" t="s">
        <v>8</v>
      </c>
      <c r="H27" s="73" t="s">
        <v>8</v>
      </c>
      <c r="I27" s="73" t="s">
        <v>8</v>
      </c>
      <c r="J27" s="73" t="s">
        <v>8</v>
      </c>
    </row>
    <row r="28" spans="1:10" ht="15.75" thickBot="1">
      <c r="A28" s="73" t="s">
        <v>8</v>
      </c>
      <c r="B28" s="754" t="s">
        <v>8</v>
      </c>
      <c r="C28" s="73" t="s">
        <v>8</v>
      </c>
      <c r="D28" s="73" t="s">
        <v>8</v>
      </c>
      <c r="E28" s="74" t="s">
        <v>8</v>
      </c>
      <c r="F28" s="73" t="s">
        <v>8</v>
      </c>
      <c r="G28" s="753" t="s">
        <v>8</v>
      </c>
      <c r="H28" s="73" t="s">
        <v>8</v>
      </c>
      <c r="I28" s="73" t="s">
        <v>8</v>
      </c>
      <c r="J28" s="73" t="s">
        <v>8</v>
      </c>
    </row>
    <row r="29" spans="1:10" ht="15.75" thickTop="1">
      <c r="A29" s="73" t="s">
        <v>8</v>
      </c>
      <c r="B29" s="776" t="s">
        <v>8</v>
      </c>
      <c r="C29" s="762" t="s">
        <v>8</v>
      </c>
      <c r="D29" s="767" t="s">
        <v>85</v>
      </c>
      <c r="E29" s="777" t="s">
        <v>8</v>
      </c>
      <c r="F29" s="762" t="s">
        <v>8</v>
      </c>
      <c r="G29" s="778" t="s">
        <v>8</v>
      </c>
      <c r="H29" s="749" t="s">
        <v>8</v>
      </c>
      <c r="I29" s="73" t="s">
        <v>8</v>
      </c>
      <c r="J29" s="73" t="s">
        <v>8</v>
      </c>
    </row>
    <row r="30" spans="1:10">
      <c r="A30" s="73" t="s">
        <v>8</v>
      </c>
      <c r="B30" s="763" t="s">
        <v>8</v>
      </c>
      <c r="C30" s="765" t="s">
        <v>8</v>
      </c>
      <c r="D30" s="765" t="s">
        <v>8</v>
      </c>
      <c r="E30" s="769" t="s">
        <v>8</v>
      </c>
      <c r="F30" s="765" t="s">
        <v>8</v>
      </c>
      <c r="G30" s="771" t="s">
        <v>8</v>
      </c>
      <c r="H30" s="757" t="s">
        <v>8</v>
      </c>
      <c r="I30" s="73" t="s">
        <v>8</v>
      </c>
      <c r="J30" s="73" t="s">
        <v>8</v>
      </c>
    </row>
    <row r="31" spans="1:10">
      <c r="A31" s="73" t="s">
        <v>8</v>
      </c>
      <c r="B31" s="763" t="s">
        <v>8</v>
      </c>
      <c r="C31" s="765" t="s">
        <v>8</v>
      </c>
      <c r="D31" s="765" t="s">
        <v>8</v>
      </c>
      <c r="E31" s="769" t="s">
        <v>8</v>
      </c>
      <c r="F31" s="765" t="s">
        <v>8</v>
      </c>
      <c r="G31" s="771" t="s">
        <v>8</v>
      </c>
      <c r="H31" s="757" t="s">
        <v>8</v>
      </c>
      <c r="I31" s="73" t="s">
        <v>8</v>
      </c>
      <c r="J31" s="73" t="s">
        <v>8</v>
      </c>
    </row>
    <row r="32" spans="1:10" ht="15.75" thickBot="1">
      <c r="A32" s="73" t="s">
        <v>8</v>
      </c>
      <c r="B32" s="764" t="s">
        <v>8</v>
      </c>
      <c r="C32" s="766" t="s">
        <v>8</v>
      </c>
      <c r="D32" s="768" t="s">
        <v>51</v>
      </c>
      <c r="E32" s="770">
        <f>SUM($E$30:$E$31)</f>
        <v>0</v>
      </c>
      <c r="F32" s="766" t="s">
        <v>8</v>
      </c>
      <c r="G32" s="772" t="s">
        <v>8</v>
      </c>
      <c r="H32" s="752" t="s">
        <v>8</v>
      </c>
      <c r="I32" s="73" t="s">
        <v>8</v>
      </c>
      <c r="J32" s="73" t="s">
        <v>8</v>
      </c>
    </row>
    <row r="33" spans="1:10" ht="15.75" thickTop="1">
      <c r="A33" s="73" t="s">
        <v>8</v>
      </c>
      <c r="B33" s="754" t="s">
        <v>8</v>
      </c>
      <c r="C33" s="73" t="s">
        <v>8</v>
      </c>
      <c r="D33" s="73" t="s">
        <v>8</v>
      </c>
      <c r="E33" s="74" t="s">
        <v>8</v>
      </c>
      <c r="F33" s="73" t="s">
        <v>8</v>
      </c>
      <c r="G33" s="753" t="s">
        <v>8</v>
      </c>
      <c r="H33" s="73" t="s">
        <v>8</v>
      </c>
      <c r="I33" s="73" t="s">
        <v>8</v>
      </c>
      <c r="J33" s="73" t="s">
        <v>8</v>
      </c>
    </row>
    <row r="34" spans="1:10" ht="15.75" thickBot="1">
      <c r="A34" s="73" t="s">
        <v>8</v>
      </c>
      <c r="B34" s="754" t="s">
        <v>8</v>
      </c>
      <c r="C34" s="73" t="s">
        <v>8</v>
      </c>
      <c r="D34" s="73" t="s">
        <v>8</v>
      </c>
      <c r="E34" s="74" t="s">
        <v>8</v>
      </c>
      <c r="F34" s="73" t="s">
        <v>8</v>
      </c>
      <c r="G34" s="753" t="s">
        <v>8</v>
      </c>
      <c r="H34" s="73" t="s">
        <v>8</v>
      </c>
      <c r="I34" s="73" t="s">
        <v>8</v>
      </c>
      <c r="J34" s="73" t="s">
        <v>8</v>
      </c>
    </row>
    <row r="35" spans="1:10" ht="15.75" thickTop="1">
      <c r="A35" s="73" t="s">
        <v>8</v>
      </c>
      <c r="B35" s="776" t="s">
        <v>8</v>
      </c>
      <c r="C35" s="762" t="s">
        <v>8</v>
      </c>
      <c r="D35" s="767" t="s">
        <v>95</v>
      </c>
      <c r="E35" s="777" t="s">
        <v>8</v>
      </c>
      <c r="F35" s="762" t="s">
        <v>8</v>
      </c>
      <c r="G35" s="778" t="s">
        <v>8</v>
      </c>
      <c r="H35" s="749" t="s">
        <v>8</v>
      </c>
      <c r="I35" s="73" t="s">
        <v>8</v>
      </c>
      <c r="J35" s="73" t="s">
        <v>8</v>
      </c>
    </row>
    <row r="36" spans="1:10">
      <c r="A36" s="73" t="s">
        <v>8</v>
      </c>
      <c r="B36" s="763" t="s">
        <v>8</v>
      </c>
      <c r="C36" s="765" t="s">
        <v>8</v>
      </c>
      <c r="D36" s="765" t="s">
        <v>8</v>
      </c>
      <c r="E36" s="769" t="s">
        <v>8</v>
      </c>
      <c r="F36" s="765" t="s">
        <v>8</v>
      </c>
      <c r="G36" s="771" t="s">
        <v>8</v>
      </c>
      <c r="H36" s="757" t="s">
        <v>8</v>
      </c>
      <c r="I36" s="73" t="s">
        <v>8</v>
      </c>
      <c r="J36" s="73" t="s">
        <v>8</v>
      </c>
    </row>
    <row r="37" spans="1:10">
      <c r="A37" s="73" t="s">
        <v>8</v>
      </c>
      <c r="B37" s="763" t="s">
        <v>8</v>
      </c>
      <c r="C37" s="765" t="s">
        <v>8</v>
      </c>
      <c r="D37" s="765" t="s">
        <v>8</v>
      </c>
      <c r="E37" s="769" t="s">
        <v>8</v>
      </c>
      <c r="F37" s="765" t="s">
        <v>8</v>
      </c>
      <c r="G37" s="771" t="s">
        <v>8</v>
      </c>
      <c r="H37" s="757" t="s">
        <v>8</v>
      </c>
      <c r="I37" s="73" t="s">
        <v>8</v>
      </c>
      <c r="J37" s="73" t="s">
        <v>8</v>
      </c>
    </row>
    <row r="38" spans="1:10" ht="15.75" thickBot="1">
      <c r="A38" s="73" t="s">
        <v>8</v>
      </c>
      <c r="B38" s="764" t="s">
        <v>8</v>
      </c>
      <c r="C38" s="766" t="s">
        <v>8</v>
      </c>
      <c r="D38" s="768" t="s">
        <v>51</v>
      </c>
      <c r="E38" s="770">
        <f>SUM($E$36:$E$37)</f>
        <v>0</v>
      </c>
      <c r="F38" s="766" t="s">
        <v>8</v>
      </c>
      <c r="G38" s="772" t="s">
        <v>8</v>
      </c>
      <c r="H38" s="752" t="s">
        <v>8</v>
      </c>
      <c r="I38" s="73" t="s">
        <v>8</v>
      </c>
      <c r="J38" s="73" t="s">
        <v>8</v>
      </c>
    </row>
    <row r="39" spans="1:10" ht="16.5" thickTop="1" thickBot="1">
      <c r="A39" s="73" t="s">
        <v>8</v>
      </c>
      <c r="B39" s="754" t="s">
        <v>8</v>
      </c>
      <c r="C39" s="73" t="s">
        <v>8</v>
      </c>
      <c r="D39" s="73" t="s">
        <v>8</v>
      </c>
      <c r="E39" s="74" t="s">
        <v>8</v>
      </c>
      <c r="F39" s="73" t="s">
        <v>8</v>
      </c>
      <c r="G39" s="753" t="s">
        <v>8</v>
      </c>
      <c r="H39" s="73" t="s">
        <v>8</v>
      </c>
      <c r="I39" s="73" t="s">
        <v>8</v>
      </c>
      <c r="J39" s="73" t="s">
        <v>8</v>
      </c>
    </row>
    <row r="40" spans="1:10" ht="15.75" thickTop="1">
      <c r="A40" s="73" t="s">
        <v>8</v>
      </c>
      <c r="B40" s="773" t="s">
        <v>8</v>
      </c>
      <c r="C40" s="748" t="s">
        <v>8</v>
      </c>
      <c r="D40" s="748" t="s">
        <v>8</v>
      </c>
      <c r="E40" s="774" t="s">
        <v>8</v>
      </c>
      <c r="F40" s="748" t="s">
        <v>8</v>
      </c>
      <c r="G40" s="775" t="s">
        <v>8</v>
      </c>
      <c r="H40" s="749" t="s">
        <v>8</v>
      </c>
      <c r="I40" s="73" t="s">
        <v>8</v>
      </c>
      <c r="J40" s="73" t="s">
        <v>8</v>
      </c>
    </row>
    <row r="41" spans="1:10">
      <c r="A41" s="73" t="s">
        <v>8</v>
      </c>
      <c r="B41" s="756" t="s">
        <v>8</v>
      </c>
      <c r="C41" s="2027" t="s">
        <v>8</v>
      </c>
      <c r="D41" s="2029" t="s">
        <v>114</v>
      </c>
      <c r="E41" s="2028">
        <f>ABS(E13+$E$20-$E$38+$E$26-$E$32)</f>
        <v>76000</v>
      </c>
      <c r="F41" s="2027" t="s">
        <v>8</v>
      </c>
      <c r="G41" s="2031" t="s">
        <v>8</v>
      </c>
      <c r="H41" s="757" t="s">
        <v>8</v>
      </c>
      <c r="I41" s="73" t="s">
        <v>8</v>
      </c>
      <c r="J41" s="73" t="s">
        <v>8</v>
      </c>
    </row>
    <row r="42" spans="1:10">
      <c r="A42" s="73" t="s">
        <v>8</v>
      </c>
      <c r="B42" s="756" t="s">
        <v>8</v>
      </c>
      <c r="C42" s="2027" t="s">
        <v>8</v>
      </c>
      <c r="D42" s="2029" t="s">
        <v>115</v>
      </c>
      <c r="E42" s="2028">
        <v>76000</v>
      </c>
      <c r="F42" s="2027" t="s">
        <v>8</v>
      </c>
      <c r="G42" s="2031" t="s">
        <v>8</v>
      </c>
      <c r="H42" s="757" t="s">
        <v>8</v>
      </c>
      <c r="I42" s="73" t="s">
        <v>116</v>
      </c>
      <c r="J42" s="73" t="s">
        <v>8</v>
      </c>
    </row>
    <row r="43" spans="1:10" ht="15.75" thickBot="1">
      <c r="A43" s="73" t="s">
        <v>8</v>
      </c>
      <c r="B43" s="758" t="s">
        <v>8</v>
      </c>
      <c r="C43" s="751" t="s">
        <v>8</v>
      </c>
      <c r="D43" s="759" t="s">
        <v>117</v>
      </c>
      <c r="E43" s="760">
        <f>$E$42-$E$41</f>
        <v>0</v>
      </c>
      <c r="F43" s="751" t="s">
        <v>8</v>
      </c>
      <c r="G43" s="761" t="s">
        <v>8</v>
      </c>
      <c r="H43" s="752" t="s">
        <v>8</v>
      </c>
      <c r="I43" s="73" t="s">
        <v>8</v>
      </c>
      <c r="J43" s="73" t="s">
        <v>8</v>
      </c>
    </row>
    <row r="44" spans="1:10" ht="16.5" thickTop="1" thickBot="1">
      <c r="A44" s="73" t="s">
        <v>8</v>
      </c>
      <c r="B44" s="754" t="s">
        <v>8</v>
      </c>
      <c r="C44" s="73" t="s">
        <v>8</v>
      </c>
      <c r="D44" s="73" t="s">
        <v>8</v>
      </c>
      <c r="E44" s="74" t="s">
        <v>8</v>
      </c>
      <c r="F44" s="73" t="s">
        <v>8</v>
      </c>
      <c r="G44" s="753" t="s">
        <v>8</v>
      </c>
      <c r="H44" s="73" t="s">
        <v>8</v>
      </c>
      <c r="I44" s="73" t="s">
        <v>8</v>
      </c>
      <c r="J44" s="73" t="s">
        <v>8</v>
      </c>
    </row>
    <row r="45" spans="1:10" ht="15.75" thickTop="1">
      <c r="A45" s="73" t="s">
        <v>8</v>
      </c>
      <c r="B45" s="773" t="s">
        <v>8</v>
      </c>
      <c r="C45" s="748" t="s">
        <v>8</v>
      </c>
      <c r="D45" s="755" t="s">
        <v>118</v>
      </c>
      <c r="E45" s="779" t="s">
        <v>119</v>
      </c>
      <c r="F45" s="755" t="s">
        <v>120</v>
      </c>
      <c r="G45" s="775">
        <v>45981</v>
      </c>
      <c r="H45" s="749" t="s">
        <v>8</v>
      </c>
      <c r="I45" s="73" t="s">
        <v>8</v>
      </c>
      <c r="J45" s="73" t="s">
        <v>8</v>
      </c>
    </row>
    <row r="46" spans="1:10">
      <c r="A46" s="73" t="s">
        <v>8</v>
      </c>
      <c r="B46" s="756" t="s">
        <v>8</v>
      </c>
      <c r="C46" s="2027" t="s">
        <v>8</v>
      </c>
      <c r="D46" s="2027" t="s">
        <v>8</v>
      </c>
      <c r="E46" s="2030" t="s">
        <v>8</v>
      </c>
      <c r="F46" s="2027" t="s">
        <v>8</v>
      </c>
      <c r="G46" s="2031" t="s">
        <v>8</v>
      </c>
      <c r="H46" s="757" t="s">
        <v>8</v>
      </c>
      <c r="I46" s="73" t="s">
        <v>8</v>
      </c>
      <c r="J46" s="73" t="s">
        <v>8</v>
      </c>
    </row>
    <row r="47" spans="1:10">
      <c r="A47" s="73" t="s">
        <v>8</v>
      </c>
      <c r="B47" s="756" t="s">
        <v>8</v>
      </c>
      <c r="C47" s="2027" t="s">
        <v>8</v>
      </c>
      <c r="D47" s="2027" t="s">
        <v>8</v>
      </c>
      <c r="E47" s="2030" t="s">
        <v>8</v>
      </c>
      <c r="F47" s="2027" t="s">
        <v>8</v>
      </c>
      <c r="G47" s="2031" t="s">
        <v>8</v>
      </c>
      <c r="H47" s="757" t="s">
        <v>8</v>
      </c>
      <c r="I47" s="73" t="s">
        <v>8</v>
      </c>
      <c r="J47" s="73" t="s">
        <v>8</v>
      </c>
    </row>
    <row r="48" spans="1:10">
      <c r="A48" s="73" t="s">
        <v>8</v>
      </c>
      <c r="B48" s="756" t="s">
        <v>8</v>
      </c>
      <c r="C48" s="2027" t="s">
        <v>8</v>
      </c>
      <c r="D48" s="2029" t="s">
        <v>121</v>
      </c>
      <c r="E48" s="2028" t="s">
        <v>8</v>
      </c>
      <c r="F48" s="2029" t="s">
        <v>120</v>
      </c>
      <c r="G48" s="2031" t="s">
        <v>8</v>
      </c>
      <c r="H48" s="757" t="s">
        <v>8</v>
      </c>
      <c r="I48" s="73" t="s">
        <v>8</v>
      </c>
      <c r="J48" s="73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1.85546875" bestFit="1" customWidth="1"/>
    <col min="5" max="5" width="24.5703125" bestFit="1" customWidth="1"/>
    <col min="6" max="6" width="28.85546875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12</v>
      </c>
      <c r="J1" s="78" t="s">
        <v>13</v>
      </c>
    </row>
    <row r="2" spans="1:10">
      <c r="A2" s="76" t="s">
        <v>8</v>
      </c>
      <c r="B2" s="76" t="s">
        <v>8</v>
      </c>
      <c r="C2" s="76" t="s">
        <v>8</v>
      </c>
      <c r="D2" s="76" t="s">
        <v>8</v>
      </c>
      <c r="E2" s="76" t="s">
        <v>8</v>
      </c>
      <c r="F2" s="76" t="s">
        <v>8</v>
      </c>
      <c r="G2" s="76" t="s">
        <v>8</v>
      </c>
      <c r="H2" s="76" t="s">
        <v>8</v>
      </c>
      <c r="I2" s="76" t="s">
        <v>8</v>
      </c>
      <c r="J2" s="76" t="s">
        <v>8</v>
      </c>
    </row>
    <row r="3" spans="1:10" ht="15.75" thickBot="1">
      <c r="A3" s="76" t="s">
        <v>8</v>
      </c>
      <c r="B3" s="76" t="s">
        <v>8</v>
      </c>
      <c r="C3" s="76" t="s">
        <v>8</v>
      </c>
      <c r="D3" s="76" t="s">
        <v>8</v>
      </c>
      <c r="E3" s="76" t="s">
        <v>8</v>
      </c>
      <c r="F3" s="76" t="s">
        <v>8</v>
      </c>
      <c r="G3" s="76" t="s">
        <v>8</v>
      </c>
      <c r="H3" s="76" t="s">
        <v>8</v>
      </c>
      <c r="I3" s="76" t="s">
        <v>8</v>
      </c>
      <c r="J3" s="76" t="s">
        <v>8</v>
      </c>
    </row>
    <row r="4" spans="1:10" ht="16.5" thickTop="1" thickBot="1">
      <c r="A4" s="76" t="s">
        <v>8</v>
      </c>
      <c r="B4" s="76" t="s">
        <v>14</v>
      </c>
      <c r="C4" s="76" t="s">
        <v>8</v>
      </c>
      <c r="D4" s="781" t="s">
        <v>15</v>
      </c>
      <c r="E4" s="76" t="s">
        <v>16</v>
      </c>
      <c r="F4" s="781" t="s">
        <v>191</v>
      </c>
      <c r="G4" s="76" t="s">
        <v>8</v>
      </c>
      <c r="H4" s="76" t="s">
        <v>8</v>
      </c>
      <c r="I4" s="76" t="s">
        <v>8</v>
      </c>
      <c r="J4" s="76" t="s">
        <v>8</v>
      </c>
    </row>
    <row r="5" spans="1:10" ht="16.5" thickTop="1" thickBot="1">
      <c r="A5" s="76" t="s">
        <v>8</v>
      </c>
      <c r="B5" s="76" t="s">
        <v>8</v>
      </c>
      <c r="C5" s="76" t="s">
        <v>8</v>
      </c>
      <c r="D5" s="76" t="s">
        <v>8</v>
      </c>
      <c r="E5" s="76" t="s">
        <v>8</v>
      </c>
      <c r="F5" s="76" t="s">
        <v>8</v>
      </c>
      <c r="G5" s="76" t="s">
        <v>8</v>
      </c>
      <c r="H5" s="76" t="s">
        <v>8</v>
      </c>
      <c r="I5" s="76" t="s">
        <v>8</v>
      </c>
      <c r="J5" s="76" t="s">
        <v>8</v>
      </c>
    </row>
    <row r="6" spans="1:10" ht="16.5" thickTop="1" thickBot="1">
      <c r="A6" s="76" t="s">
        <v>8</v>
      </c>
      <c r="B6" s="76" t="s">
        <v>18</v>
      </c>
      <c r="C6" s="76" t="s">
        <v>8</v>
      </c>
      <c r="D6" s="781" t="s">
        <v>19</v>
      </c>
      <c r="E6" s="76" t="s">
        <v>20</v>
      </c>
      <c r="F6" s="781" t="s">
        <v>192</v>
      </c>
      <c r="G6" s="76" t="s">
        <v>8</v>
      </c>
      <c r="H6" s="76" t="s">
        <v>8</v>
      </c>
      <c r="I6" s="76" t="s">
        <v>8</v>
      </c>
      <c r="J6" s="76" t="s">
        <v>8</v>
      </c>
    </row>
    <row r="7" spans="1:10" ht="16.5" thickTop="1" thickBot="1">
      <c r="A7" s="76" t="s">
        <v>8</v>
      </c>
      <c r="B7" s="76" t="s">
        <v>8</v>
      </c>
      <c r="C7" s="76" t="s">
        <v>8</v>
      </c>
      <c r="D7" s="76" t="s">
        <v>8</v>
      </c>
      <c r="E7" s="76" t="s">
        <v>8</v>
      </c>
      <c r="F7" s="76" t="s">
        <v>8</v>
      </c>
      <c r="G7" s="76" t="s">
        <v>8</v>
      </c>
      <c r="H7" s="76" t="s">
        <v>8</v>
      </c>
      <c r="I7" s="76" t="s">
        <v>8</v>
      </c>
      <c r="J7" s="76" t="s">
        <v>8</v>
      </c>
    </row>
    <row r="8" spans="1:10" ht="16.5" thickTop="1" thickBot="1">
      <c r="A8" s="76" t="s">
        <v>8</v>
      </c>
      <c r="B8" s="76" t="s">
        <v>22</v>
      </c>
      <c r="C8" s="76" t="s">
        <v>8</v>
      </c>
      <c r="D8" s="781" t="s">
        <v>11</v>
      </c>
      <c r="E8" s="76" t="s">
        <v>23</v>
      </c>
      <c r="F8" s="781" t="s">
        <v>193</v>
      </c>
      <c r="G8" s="76" t="s">
        <v>8</v>
      </c>
      <c r="H8" s="76" t="s">
        <v>8</v>
      </c>
      <c r="I8" s="76" t="s">
        <v>8</v>
      </c>
      <c r="J8" s="76" t="s">
        <v>8</v>
      </c>
    </row>
    <row r="9" spans="1:10" ht="16.5" thickTop="1" thickBot="1">
      <c r="A9" s="76" t="s">
        <v>8</v>
      </c>
      <c r="B9" s="76" t="s">
        <v>8</v>
      </c>
      <c r="C9" s="76" t="s">
        <v>8</v>
      </c>
      <c r="D9" s="76" t="s">
        <v>8</v>
      </c>
      <c r="E9" s="76" t="s">
        <v>8</v>
      </c>
      <c r="F9" s="76" t="s">
        <v>8</v>
      </c>
      <c r="G9" s="76" t="s">
        <v>8</v>
      </c>
      <c r="H9" s="76" t="s">
        <v>8</v>
      </c>
      <c r="I9" s="76" t="s">
        <v>8</v>
      </c>
      <c r="J9" s="76" t="s">
        <v>8</v>
      </c>
    </row>
    <row r="10" spans="1:10" ht="16.5" thickTop="1" thickBot="1">
      <c r="A10" s="76" t="s">
        <v>8</v>
      </c>
      <c r="B10" s="76" t="s">
        <v>25</v>
      </c>
      <c r="C10" s="76" t="s">
        <v>8</v>
      </c>
      <c r="D10" s="781" t="s">
        <v>26</v>
      </c>
      <c r="E10" s="76" t="s">
        <v>8</v>
      </c>
      <c r="F10" s="76" t="s">
        <v>8</v>
      </c>
      <c r="G10" s="76" t="s">
        <v>8</v>
      </c>
      <c r="H10" s="76" t="s">
        <v>8</v>
      </c>
      <c r="I10" s="76" t="s">
        <v>8</v>
      </c>
      <c r="J10" s="76" t="s">
        <v>8</v>
      </c>
    </row>
    <row r="11" spans="1:10" ht="16.5" thickTop="1" thickBot="1">
      <c r="A11" s="76" t="s">
        <v>8</v>
      </c>
      <c r="B11" s="76" t="s">
        <v>8</v>
      </c>
      <c r="C11" s="76" t="s">
        <v>8</v>
      </c>
      <c r="D11" s="76" t="s">
        <v>8</v>
      </c>
      <c r="E11" s="76" t="s">
        <v>8</v>
      </c>
      <c r="F11" s="76" t="s">
        <v>8</v>
      </c>
      <c r="G11" s="76" t="s">
        <v>8</v>
      </c>
      <c r="H11" s="76" t="s">
        <v>8</v>
      </c>
      <c r="I11" s="76" t="s">
        <v>8</v>
      </c>
      <c r="J11" s="76" t="s">
        <v>8</v>
      </c>
    </row>
    <row r="12" spans="1:10" ht="16.5" thickTop="1" thickBot="1">
      <c r="A12" s="76" t="s">
        <v>8</v>
      </c>
      <c r="B12" s="782" t="s">
        <v>8</v>
      </c>
      <c r="C12" s="783" t="s">
        <v>8</v>
      </c>
      <c r="D12" s="783" t="s">
        <v>8</v>
      </c>
      <c r="E12" s="783" t="s">
        <v>8</v>
      </c>
      <c r="F12" s="783" t="s">
        <v>8</v>
      </c>
      <c r="G12" s="783" t="s">
        <v>8</v>
      </c>
      <c r="H12" s="784" t="s">
        <v>8</v>
      </c>
      <c r="I12" s="76" t="s">
        <v>8</v>
      </c>
      <c r="J12" s="76" t="s">
        <v>8</v>
      </c>
    </row>
    <row r="13" spans="1:10" ht="16.5" thickTop="1" thickBot="1">
      <c r="A13" s="76" t="s">
        <v>8</v>
      </c>
      <c r="B13" s="785" t="s">
        <v>8</v>
      </c>
      <c r="C13" s="780" t="s">
        <v>190</v>
      </c>
      <c r="D13" s="786" t="s">
        <v>28</v>
      </c>
      <c r="E13" s="795">
        <v>500</v>
      </c>
      <c r="F13" s="786" t="s">
        <v>8</v>
      </c>
      <c r="G13" s="786" t="s">
        <v>8</v>
      </c>
      <c r="H13" s="787" t="s">
        <v>8</v>
      </c>
      <c r="I13" s="76" t="s">
        <v>29</v>
      </c>
      <c r="J13" s="76" t="s">
        <v>8</v>
      </c>
    </row>
    <row r="14" spans="1:10" ht="16.5" thickTop="1" thickBot="1">
      <c r="A14" s="76" t="s">
        <v>8</v>
      </c>
      <c r="B14" s="76" t="s">
        <v>8</v>
      </c>
      <c r="C14" s="76" t="s">
        <v>8</v>
      </c>
      <c r="D14" s="76" t="s">
        <v>8</v>
      </c>
      <c r="E14" s="76" t="s">
        <v>8</v>
      </c>
      <c r="F14" s="76" t="s">
        <v>8</v>
      </c>
      <c r="G14" s="76" t="s">
        <v>8</v>
      </c>
      <c r="H14" s="76" t="s">
        <v>8</v>
      </c>
      <c r="I14" s="76" t="s">
        <v>8</v>
      </c>
      <c r="J14" s="76" t="s">
        <v>8</v>
      </c>
    </row>
    <row r="15" spans="1:10" ht="16.5" thickTop="1" thickBot="1">
      <c r="A15" s="76" t="s">
        <v>8</v>
      </c>
      <c r="B15" s="781" t="s">
        <v>30</v>
      </c>
      <c r="C15" s="780" t="s">
        <v>31</v>
      </c>
      <c r="D15" s="780" t="s">
        <v>32</v>
      </c>
      <c r="E15" s="780" t="s">
        <v>33</v>
      </c>
      <c r="F15" s="780" t="s">
        <v>34</v>
      </c>
      <c r="G15" s="780" t="s">
        <v>35</v>
      </c>
      <c r="H15" s="780" t="s">
        <v>36</v>
      </c>
      <c r="I15" s="76" t="s">
        <v>8</v>
      </c>
      <c r="J15" s="76" t="s">
        <v>8</v>
      </c>
    </row>
    <row r="16" spans="1:10" ht="16.5" thickTop="1" thickBot="1">
      <c r="A16" s="76" t="s">
        <v>8</v>
      </c>
      <c r="B16" s="76" t="s">
        <v>8</v>
      </c>
      <c r="C16" s="76" t="s">
        <v>8</v>
      </c>
      <c r="D16" s="76" t="s">
        <v>8</v>
      </c>
      <c r="E16" s="76" t="s">
        <v>8</v>
      </c>
      <c r="F16" s="76" t="s">
        <v>8</v>
      </c>
      <c r="G16" s="76" t="s">
        <v>8</v>
      </c>
      <c r="H16" s="76" t="s">
        <v>8</v>
      </c>
      <c r="I16" s="76" t="s">
        <v>8</v>
      </c>
      <c r="J16" s="76" t="s">
        <v>8</v>
      </c>
    </row>
    <row r="17" spans="1:10" ht="15.75" thickTop="1">
      <c r="A17" s="76" t="s">
        <v>8</v>
      </c>
      <c r="B17" s="797" t="s">
        <v>8</v>
      </c>
      <c r="C17" s="797" t="s">
        <v>8</v>
      </c>
      <c r="D17" s="802" t="s">
        <v>37</v>
      </c>
      <c r="E17" s="797" t="s">
        <v>8</v>
      </c>
      <c r="F17" s="797" t="s">
        <v>8</v>
      </c>
      <c r="G17" s="797" t="s">
        <v>8</v>
      </c>
      <c r="H17" s="784" t="s">
        <v>8</v>
      </c>
      <c r="I17" s="76" t="s">
        <v>8</v>
      </c>
      <c r="J17" s="76" t="s">
        <v>8</v>
      </c>
    </row>
    <row r="18" spans="1:10">
      <c r="A18" s="76" t="s">
        <v>8</v>
      </c>
      <c r="B18" s="798" t="s">
        <v>8</v>
      </c>
      <c r="C18" s="800" t="s">
        <v>8</v>
      </c>
      <c r="D18" s="800" t="s">
        <v>8</v>
      </c>
      <c r="E18" s="804" t="s">
        <v>8</v>
      </c>
      <c r="F18" s="800" t="s">
        <v>8</v>
      </c>
      <c r="G18" s="806" t="s">
        <v>8</v>
      </c>
      <c r="H18" s="792" t="s">
        <v>8</v>
      </c>
      <c r="I18" s="76" t="s">
        <v>8</v>
      </c>
      <c r="J18" s="76" t="s">
        <v>8</v>
      </c>
    </row>
    <row r="19" spans="1:10">
      <c r="A19" s="76" t="s">
        <v>8</v>
      </c>
      <c r="B19" s="798" t="s">
        <v>8</v>
      </c>
      <c r="C19" s="800" t="s">
        <v>8</v>
      </c>
      <c r="D19" s="800" t="s">
        <v>8</v>
      </c>
      <c r="E19" s="804" t="s">
        <v>8</v>
      </c>
      <c r="F19" s="800" t="s">
        <v>8</v>
      </c>
      <c r="G19" s="806" t="s">
        <v>8</v>
      </c>
      <c r="H19" s="792" t="s">
        <v>8</v>
      </c>
      <c r="I19" s="76" t="s">
        <v>8</v>
      </c>
      <c r="J19" s="76" t="s">
        <v>8</v>
      </c>
    </row>
    <row r="20" spans="1:10" ht="15.75" thickBot="1">
      <c r="A20" s="76" t="s">
        <v>8</v>
      </c>
      <c r="B20" s="799" t="s">
        <v>8</v>
      </c>
      <c r="C20" s="801" t="s">
        <v>8</v>
      </c>
      <c r="D20" s="803" t="s">
        <v>51</v>
      </c>
      <c r="E20" s="805">
        <f>SUM($E$18:$E$19)</f>
        <v>0</v>
      </c>
      <c r="F20" s="801" t="s">
        <v>8</v>
      </c>
      <c r="G20" s="807" t="s">
        <v>8</v>
      </c>
      <c r="H20" s="787" t="s">
        <v>8</v>
      </c>
      <c r="I20" s="76" t="s">
        <v>8</v>
      </c>
      <c r="J20" s="76" t="s">
        <v>8</v>
      </c>
    </row>
    <row r="21" spans="1:10" ht="15.75" thickTop="1">
      <c r="A21" s="76" t="s">
        <v>8</v>
      </c>
      <c r="B21" s="789" t="s">
        <v>8</v>
      </c>
      <c r="C21" s="76" t="s">
        <v>8</v>
      </c>
      <c r="D21" s="76" t="s">
        <v>8</v>
      </c>
      <c r="E21" s="77" t="s">
        <v>8</v>
      </c>
      <c r="F21" s="76" t="s">
        <v>8</v>
      </c>
      <c r="G21" s="788" t="s">
        <v>8</v>
      </c>
      <c r="H21" s="76" t="s">
        <v>8</v>
      </c>
      <c r="I21" s="76" t="s">
        <v>8</v>
      </c>
      <c r="J21" s="76" t="s">
        <v>8</v>
      </c>
    </row>
    <row r="22" spans="1:10" ht="15.75" thickBot="1">
      <c r="A22" s="76" t="s">
        <v>8</v>
      </c>
      <c r="B22" s="789" t="s">
        <v>8</v>
      </c>
      <c r="C22" s="76" t="s">
        <v>8</v>
      </c>
      <c r="D22" s="76" t="s">
        <v>8</v>
      </c>
      <c r="E22" s="77" t="s">
        <v>8</v>
      </c>
      <c r="F22" s="76" t="s">
        <v>8</v>
      </c>
      <c r="G22" s="788" t="s">
        <v>8</v>
      </c>
      <c r="H22" s="76" t="s">
        <v>8</v>
      </c>
      <c r="I22" s="76" t="s">
        <v>8</v>
      </c>
      <c r="J22" s="76" t="s">
        <v>8</v>
      </c>
    </row>
    <row r="23" spans="1:10" ht="15.75" thickTop="1">
      <c r="A23" s="76" t="s">
        <v>8</v>
      </c>
      <c r="B23" s="811" t="s">
        <v>8</v>
      </c>
      <c r="C23" s="797" t="s">
        <v>8</v>
      </c>
      <c r="D23" s="802" t="s">
        <v>52</v>
      </c>
      <c r="E23" s="812" t="s">
        <v>8</v>
      </c>
      <c r="F23" s="797" t="s">
        <v>8</v>
      </c>
      <c r="G23" s="813" t="s">
        <v>8</v>
      </c>
      <c r="H23" s="784" t="s">
        <v>8</v>
      </c>
      <c r="I23" s="76" t="s">
        <v>8</v>
      </c>
      <c r="J23" s="76" t="s">
        <v>8</v>
      </c>
    </row>
    <row r="24" spans="1:10">
      <c r="A24" s="76" t="s">
        <v>8</v>
      </c>
      <c r="B24" s="798" t="s">
        <v>8</v>
      </c>
      <c r="C24" s="800" t="s">
        <v>8</v>
      </c>
      <c r="D24" s="800" t="s">
        <v>8</v>
      </c>
      <c r="E24" s="804" t="s">
        <v>8</v>
      </c>
      <c r="F24" s="800" t="s">
        <v>8</v>
      </c>
      <c r="G24" s="806" t="s">
        <v>8</v>
      </c>
      <c r="H24" s="792" t="s">
        <v>8</v>
      </c>
      <c r="I24" s="76" t="s">
        <v>8</v>
      </c>
      <c r="J24" s="76" t="s">
        <v>8</v>
      </c>
    </row>
    <row r="25" spans="1:10">
      <c r="A25" s="76" t="s">
        <v>8</v>
      </c>
      <c r="B25" s="798" t="s">
        <v>8</v>
      </c>
      <c r="C25" s="800" t="s">
        <v>8</v>
      </c>
      <c r="D25" s="800" t="s">
        <v>8</v>
      </c>
      <c r="E25" s="804" t="s">
        <v>8</v>
      </c>
      <c r="F25" s="800" t="s">
        <v>8</v>
      </c>
      <c r="G25" s="806" t="s">
        <v>8</v>
      </c>
      <c r="H25" s="792" t="s">
        <v>8</v>
      </c>
      <c r="I25" s="76" t="s">
        <v>8</v>
      </c>
      <c r="J25" s="76" t="s">
        <v>8</v>
      </c>
    </row>
    <row r="26" spans="1:10" ht="15.75" thickBot="1">
      <c r="A26" s="76" t="s">
        <v>8</v>
      </c>
      <c r="B26" s="799" t="s">
        <v>8</v>
      </c>
      <c r="C26" s="801" t="s">
        <v>8</v>
      </c>
      <c r="D26" s="803" t="s">
        <v>51</v>
      </c>
      <c r="E26" s="805">
        <f>SUM($E$24:$E$25)</f>
        <v>0</v>
      </c>
      <c r="F26" s="801" t="s">
        <v>8</v>
      </c>
      <c r="G26" s="807" t="s">
        <v>8</v>
      </c>
      <c r="H26" s="787" t="s">
        <v>8</v>
      </c>
      <c r="I26" s="76" t="s">
        <v>8</v>
      </c>
      <c r="J26" s="76" t="s">
        <v>8</v>
      </c>
    </row>
    <row r="27" spans="1:10" ht="15.75" thickTop="1">
      <c r="A27" s="76" t="s">
        <v>8</v>
      </c>
      <c r="B27" s="789" t="s">
        <v>8</v>
      </c>
      <c r="C27" s="76" t="s">
        <v>8</v>
      </c>
      <c r="D27" s="76" t="s">
        <v>8</v>
      </c>
      <c r="E27" s="77" t="s">
        <v>8</v>
      </c>
      <c r="F27" s="76" t="s">
        <v>8</v>
      </c>
      <c r="G27" s="788" t="s">
        <v>8</v>
      </c>
      <c r="H27" s="76" t="s">
        <v>8</v>
      </c>
      <c r="I27" s="76" t="s">
        <v>8</v>
      </c>
      <c r="J27" s="76" t="s">
        <v>8</v>
      </c>
    </row>
    <row r="28" spans="1:10" ht="15.75" thickBot="1">
      <c r="A28" s="76" t="s">
        <v>8</v>
      </c>
      <c r="B28" s="789" t="s">
        <v>8</v>
      </c>
      <c r="C28" s="76" t="s">
        <v>8</v>
      </c>
      <c r="D28" s="76" t="s">
        <v>8</v>
      </c>
      <c r="E28" s="77" t="s">
        <v>8</v>
      </c>
      <c r="F28" s="76" t="s">
        <v>8</v>
      </c>
      <c r="G28" s="788" t="s">
        <v>8</v>
      </c>
      <c r="H28" s="76" t="s">
        <v>8</v>
      </c>
      <c r="I28" s="76" t="s">
        <v>8</v>
      </c>
      <c r="J28" s="76" t="s">
        <v>8</v>
      </c>
    </row>
    <row r="29" spans="1:10" ht="15.75" thickTop="1">
      <c r="A29" s="76" t="s">
        <v>8</v>
      </c>
      <c r="B29" s="811" t="s">
        <v>8</v>
      </c>
      <c r="C29" s="797" t="s">
        <v>8</v>
      </c>
      <c r="D29" s="802" t="s">
        <v>85</v>
      </c>
      <c r="E29" s="812" t="s">
        <v>8</v>
      </c>
      <c r="F29" s="797" t="s">
        <v>8</v>
      </c>
      <c r="G29" s="813" t="s">
        <v>8</v>
      </c>
      <c r="H29" s="784" t="s">
        <v>8</v>
      </c>
      <c r="I29" s="76" t="s">
        <v>8</v>
      </c>
      <c r="J29" s="76" t="s">
        <v>8</v>
      </c>
    </row>
    <row r="30" spans="1:10">
      <c r="A30" s="76" t="s">
        <v>8</v>
      </c>
      <c r="B30" s="798" t="s">
        <v>8</v>
      </c>
      <c r="C30" s="800" t="s">
        <v>8</v>
      </c>
      <c r="D30" s="800" t="s">
        <v>8</v>
      </c>
      <c r="E30" s="804" t="s">
        <v>8</v>
      </c>
      <c r="F30" s="800" t="s">
        <v>8</v>
      </c>
      <c r="G30" s="806" t="s">
        <v>8</v>
      </c>
      <c r="H30" s="792" t="s">
        <v>8</v>
      </c>
      <c r="I30" s="76" t="s">
        <v>8</v>
      </c>
      <c r="J30" s="76" t="s">
        <v>8</v>
      </c>
    </row>
    <row r="31" spans="1:10">
      <c r="A31" s="76" t="s">
        <v>8</v>
      </c>
      <c r="B31" s="798" t="s">
        <v>8</v>
      </c>
      <c r="C31" s="800" t="s">
        <v>8</v>
      </c>
      <c r="D31" s="800" t="s">
        <v>8</v>
      </c>
      <c r="E31" s="804" t="s">
        <v>8</v>
      </c>
      <c r="F31" s="800" t="s">
        <v>8</v>
      </c>
      <c r="G31" s="806" t="s">
        <v>8</v>
      </c>
      <c r="H31" s="792" t="s">
        <v>8</v>
      </c>
      <c r="I31" s="76" t="s">
        <v>8</v>
      </c>
      <c r="J31" s="76" t="s">
        <v>8</v>
      </c>
    </row>
    <row r="32" spans="1:10" ht="15.75" thickBot="1">
      <c r="A32" s="76" t="s">
        <v>8</v>
      </c>
      <c r="B32" s="799" t="s">
        <v>8</v>
      </c>
      <c r="C32" s="801" t="s">
        <v>8</v>
      </c>
      <c r="D32" s="803" t="s">
        <v>51</v>
      </c>
      <c r="E32" s="805">
        <f>SUM($E$30:$E$31)</f>
        <v>0</v>
      </c>
      <c r="F32" s="801" t="s">
        <v>8</v>
      </c>
      <c r="G32" s="807" t="s">
        <v>8</v>
      </c>
      <c r="H32" s="787" t="s">
        <v>8</v>
      </c>
      <c r="I32" s="76" t="s">
        <v>8</v>
      </c>
      <c r="J32" s="76" t="s">
        <v>8</v>
      </c>
    </row>
    <row r="33" spans="1:10" ht="15.75" thickTop="1">
      <c r="A33" s="76" t="s">
        <v>8</v>
      </c>
      <c r="B33" s="789" t="s">
        <v>8</v>
      </c>
      <c r="C33" s="76" t="s">
        <v>8</v>
      </c>
      <c r="D33" s="76" t="s">
        <v>8</v>
      </c>
      <c r="E33" s="77" t="s">
        <v>8</v>
      </c>
      <c r="F33" s="76" t="s">
        <v>8</v>
      </c>
      <c r="G33" s="788" t="s">
        <v>8</v>
      </c>
      <c r="H33" s="76" t="s">
        <v>8</v>
      </c>
      <c r="I33" s="76" t="s">
        <v>8</v>
      </c>
      <c r="J33" s="76" t="s">
        <v>8</v>
      </c>
    </row>
    <row r="34" spans="1:10" ht="15.75" thickBot="1">
      <c r="A34" s="76" t="s">
        <v>8</v>
      </c>
      <c r="B34" s="789" t="s">
        <v>8</v>
      </c>
      <c r="C34" s="76" t="s">
        <v>8</v>
      </c>
      <c r="D34" s="76" t="s">
        <v>8</v>
      </c>
      <c r="E34" s="77" t="s">
        <v>8</v>
      </c>
      <c r="F34" s="76" t="s">
        <v>8</v>
      </c>
      <c r="G34" s="788" t="s">
        <v>8</v>
      </c>
      <c r="H34" s="76" t="s">
        <v>8</v>
      </c>
      <c r="I34" s="76" t="s">
        <v>8</v>
      </c>
      <c r="J34" s="76" t="s">
        <v>8</v>
      </c>
    </row>
    <row r="35" spans="1:10" ht="15.75" thickTop="1">
      <c r="A35" s="76" t="s">
        <v>8</v>
      </c>
      <c r="B35" s="811" t="s">
        <v>8</v>
      </c>
      <c r="C35" s="797" t="s">
        <v>8</v>
      </c>
      <c r="D35" s="802" t="s">
        <v>95</v>
      </c>
      <c r="E35" s="812" t="s">
        <v>8</v>
      </c>
      <c r="F35" s="797" t="s">
        <v>8</v>
      </c>
      <c r="G35" s="813" t="s">
        <v>8</v>
      </c>
      <c r="H35" s="784" t="s">
        <v>8</v>
      </c>
      <c r="I35" s="76" t="s">
        <v>8</v>
      </c>
      <c r="J35" s="76" t="s">
        <v>8</v>
      </c>
    </row>
    <row r="36" spans="1:10">
      <c r="A36" s="76" t="s">
        <v>8</v>
      </c>
      <c r="B36" s="798" t="s">
        <v>8</v>
      </c>
      <c r="C36" s="800" t="s">
        <v>8</v>
      </c>
      <c r="D36" s="800" t="s">
        <v>8</v>
      </c>
      <c r="E36" s="804" t="s">
        <v>8</v>
      </c>
      <c r="F36" s="800" t="s">
        <v>8</v>
      </c>
      <c r="G36" s="806" t="s">
        <v>8</v>
      </c>
      <c r="H36" s="792" t="s">
        <v>8</v>
      </c>
      <c r="I36" s="76" t="s">
        <v>8</v>
      </c>
      <c r="J36" s="76" t="s">
        <v>8</v>
      </c>
    </row>
    <row r="37" spans="1:10">
      <c r="A37" s="76" t="s">
        <v>8</v>
      </c>
      <c r="B37" s="798" t="s">
        <v>8</v>
      </c>
      <c r="C37" s="800" t="s">
        <v>8</v>
      </c>
      <c r="D37" s="800" t="s">
        <v>8</v>
      </c>
      <c r="E37" s="804" t="s">
        <v>8</v>
      </c>
      <c r="F37" s="800" t="s">
        <v>8</v>
      </c>
      <c r="G37" s="806" t="s">
        <v>8</v>
      </c>
      <c r="H37" s="792" t="s">
        <v>8</v>
      </c>
      <c r="I37" s="76" t="s">
        <v>8</v>
      </c>
      <c r="J37" s="76" t="s">
        <v>8</v>
      </c>
    </row>
    <row r="38" spans="1:10" ht="15.75" thickBot="1">
      <c r="A38" s="76" t="s">
        <v>8</v>
      </c>
      <c r="B38" s="799" t="s">
        <v>8</v>
      </c>
      <c r="C38" s="801" t="s">
        <v>8</v>
      </c>
      <c r="D38" s="803" t="s">
        <v>51</v>
      </c>
      <c r="E38" s="805">
        <f>SUM($E$36:$E$37)</f>
        <v>0</v>
      </c>
      <c r="F38" s="801" t="s">
        <v>8</v>
      </c>
      <c r="G38" s="807" t="s">
        <v>8</v>
      </c>
      <c r="H38" s="787" t="s">
        <v>8</v>
      </c>
      <c r="I38" s="76" t="s">
        <v>8</v>
      </c>
      <c r="J38" s="76" t="s">
        <v>8</v>
      </c>
    </row>
    <row r="39" spans="1:10" ht="16.5" thickTop="1" thickBot="1">
      <c r="A39" s="76" t="s">
        <v>8</v>
      </c>
      <c r="B39" s="789" t="s">
        <v>8</v>
      </c>
      <c r="C39" s="76" t="s">
        <v>8</v>
      </c>
      <c r="D39" s="76" t="s">
        <v>8</v>
      </c>
      <c r="E39" s="77" t="s">
        <v>8</v>
      </c>
      <c r="F39" s="76" t="s">
        <v>8</v>
      </c>
      <c r="G39" s="788" t="s">
        <v>8</v>
      </c>
      <c r="H39" s="76" t="s">
        <v>8</v>
      </c>
      <c r="I39" s="76" t="s">
        <v>8</v>
      </c>
      <c r="J39" s="76" t="s">
        <v>8</v>
      </c>
    </row>
    <row r="40" spans="1:10" ht="15.75" thickTop="1">
      <c r="A40" s="76" t="s">
        <v>8</v>
      </c>
      <c r="B40" s="808" t="s">
        <v>8</v>
      </c>
      <c r="C40" s="783" t="s">
        <v>8</v>
      </c>
      <c r="D40" s="783" t="s">
        <v>8</v>
      </c>
      <c r="E40" s="809" t="s">
        <v>8</v>
      </c>
      <c r="F40" s="783" t="s">
        <v>8</v>
      </c>
      <c r="G40" s="810" t="s">
        <v>8</v>
      </c>
      <c r="H40" s="784" t="s">
        <v>8</v>
      </c>
      <c r="I40" s="76" t="s">
        <v>8</v>
      </c>
      <c r="J40" s="76" t="s">
        <v>8</v>
      </c>
    </row>
    <row r="41" spans="1:10">
      <c r="A41" s="76" t="s">
        <v>8</v>
      </c>
      <c r="B41" s="791" t="s">
        <v>8</v>
      </c>
      <c r="C41" s="2032" t="s">
        <v>8</v>
      </c>
      <c r="D41" s="2034" t="s">
        <v>114</v>
      </c>
      <c r="E41" s="2033">
        <f>ABS(E13+$E$20-$E$38+$E$26-$E$32)</f>
        <v>500</v>
      </c>
      <c r="F41" s="2032" t="s">
        <v>8</v>
      </c>
      <c r="G41" s="2036" t="s">
        <v>8</v>
      </c>
      <c r="H41" s="792" t="s">
        <v>8</v>
      </c>
      <c r="I41" s="76" t="s">
        <v>8</v>
      </c>
      <c r="J41" s="76" t="s">
        <v>8</v>
      </c>
    </row>
    <row r="42" spans="1:10">
      <c r="A42" s="76" t="s">
        <v>8</v>
      </c>
      <c r="B42" s="791" t="s">
        <v>8</v>
      </c>
      <c r="C42" s="2032" t="s">
        <v>8</v>
      </c>
      <c r="D42" s="2034" t="s">
        <v>115</v>
      </c>
      <c r="E42" s="2033">
        <v>500</v>
      </c>
      <c r="F42" s="2032" t="s">
        <v>8</v>
      </c>
      <c r="G42" s="2036" t="s">
        <v>8</v>
      </c>
      <c r="H42" s="792" t="s">
        <v>8</v>
      </c>
      <c r="I42" s="76" t="s">
        <v>116</v>
      </c>
      <c r="J42" s="76" t="s">
        <v>8</v>
      </c>
    </row>
    <row r="43" spans="1:10" ht="15.75" thickBot="1">
      <c r="A43" s="76" t="s">
        <v>8</v>
      </c>
      <c r="B43" s="793" t="s">
        <v>8</v>
      </c>
      <c r="C43" s="786" t="s">
        <v>8</v>
      </c>
      <c r="D43" s="794" t="s">
        <v>117</v>
      </c>
      <c r="E43" s="795">
        <f>$E$42-$E$41</f>
        <v>0</v>
      </c>
      <c r="F43" s="786" t="s">
        <v>8</v>
      </c>
      <c r="G43" s="796" t="s">
        <v>8</v>
      </c>
      <c r="H43" s="787" t="s">
        <v>8</v>
      </c>
      <c r="I43" s="76" t="s">
        <v>8</v>
      </c>
      <c r="J43" s="76" t="s">
        <v>8</v>
      </c>
    </row>
    <row r="44" spans="1:10" ht="16.5" thickTop="1" thickBot="1">
      <c r="A44" s="76" t="s">
        <v>8</v>
      </c>
      <c r="B44" s="789" t="s">
        <v>8</v>
      </c>
      <c r="C44" s="76" t="s">
        <v>8</v>
      </c>
      <c r="D44" s="76" t="s">
        <v>8</v>
      </c>
      <c r="E44" s="77" t="s">
        <v>8</v>
      </c>
      <c r="F44" s="76" t="s">
        <v>8</v>
      </c>
      <c r="G44" s="788" t="s">
        <v>8</v>
      </c>
      <c r="H44" s="76" t="s">
        <v>8</v>
      </c>
      <c r="I44" s="76" t="s">
        <v>8</v>
      </c>
      <c r="J44" s="76" t="s">
        <v>8</v>
      </c>
    </row>
    <row r="45" spans="1:10" ht="15.75" thickTop="1">
      <c r="A45" s="76" t="s">
        <v>8</v>
      </c>
      <c r="B45" s="808" t="s">
        <v>8</v>
      </c>
      <c r="C45" s="783" t="s">
        <v>8</v>
      </c>
      <c r="D45" s="790" t="s">
        <v>118</v>
      </c>
      <c r="E45" s="814" t="s">
        <v>119</v>
      </c>
      <c r="F45" s="790" t="s">
        <v>120</v>
      </c>
      <c r="G45" s="810">
        <v>45981</v>
      </c>
      <c r="H45" s="784" t="s">
        <v>8</v>
      </c>
      <c r="I45" s="76" t="s">
        <v>8</v>
      </c>
      <c r="J45" s="76" t="s">
        <v>8</v>
      </c>
    </row>
    <row r="46" spans="1:10">
      <c r="A46" s="76" t="s">
        <v>8</v>
      </c>
      <c r="B46" s="791" t="s">
        <v>8</v>
      </c>
      <c r="C46" s="2032" t="s">
        <v>8</v>
      </c>
      <c r="D46" s="2032" t="s">
        <v>8</v>
      </c>
      <c r="E46" s="2035" t="s">
        <v>8</v>
      </c>
      <c r="F46" s="2032" t="s">
        <v>8</v>
      </c>
      <c r="G46" s="2036" t="s">
        <v>8</v>
      </c>
      <c r="H46" s="792" t="s">
        <v>8</v>
      </c>
      <c r="I46" s="76" t="s">
        <v>8</v>
      </c>
      <c r="J46" s="76" t="s">
        <v>8</v>
      </c>
    </row>
    <row r="47" spans="1:10">
      <c r="A47" s="76" t="s">
        <v>8</v>
      </c>
      <c r="B47" s="791" t="s">
        <v>8</v>
      </c>
      <c r="C47" s="2032" t="s">
        <v>8</v>
      </c>
      <c r="D47" s="2032" t="s">
        <v>8</v>
      </c>
      <c r="E47" s="2035" t="s">
        <v>8</v>
      </c>
      <c r="F47" s="2032" t="s">
        <v>8</v>
      </c>
      <c r="G47" s="2036" t="s">
        <v>8</v>
      </c>
      <c r="H47" s="792" t="s">
        <v>8</v>
      </c>
      <c r="I47" s="76" t="s">
        <v>8</v>
      </c>
      <c r="J47" s="76" t="s">
        <v>8</v>
      </c>
    </row>
    <row r="48" spans="1:10">
      <c r="A48" s="76" t="s">
        <v>8</v>
      </c>
      <c r="B48" s="791" t="s">
        <v>8</v>
      </c>
      <c r="C48" s="2032" t="s">
        <v>8</v>
      </c>
      <c r="D48" s="2034" t="s">
        <v>121</v>
      </c>
      <c r="E48" s="2033" t="s">
        <v>8</v>
      </c>
      <c r="F48" s="2034" t="s">
        <v>120</v>
      </c>
      <c r="G48" s="2036" t="s">
        <v>8</v>
      </c>
      <c r="H48" s="792" t="s">
        <v>8</v>
      </c>
      <c r="I48" s="76" t="s">
        <v>8</v>
      </c>
      <c r="J48" s="76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.42578125" bestFit="1" customWidth="1"/>
    <col min="4" max="4" width="61.85546875" bestFit="1" customWidth="1"/>
    <col min="5" max="5" width="24.5703125" bestFit="1" customWidth="1"/>
    <col min="6" max="6" width="29" bestFit="1" customWidth="1"/>
    <col min="7" max="7" width="13.42578125" bestFit="1" customWidth="1"/>
    <col min="8" max="8" width="7.5703125" bestFit="1" customWidth="1"/>
    <col min="9" max="9" width="7.42578125" bestFit="1" customWidth="1"/>
    <col min="10" max="10" width="8.42578125" bestFit="1" customWidth="1"/>
  </cols>
  <sheetData>
    <row r="1" spans="1:10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12</v>
      </c>
      <c r="J1" s="81" t="s">
        <v>13</v>
      </c>
    </row>
    <row r="2" spans="1:10">
      <c r="A2" s="79" t="s">
        <v>8</v>
      </c>
      <c r="B2" s="79" t="s">
        <v>8</v>
      </c>
      <c r="C2" s="79" t="s">
        <v>8</v>
      </c>
      <c r="D2" s="79" t="s">
        <v>8</v>
      </c>
      <c r="E2" s="79" t="s">
        <v>8</v>
      </c>
      <c r="F2" s="79" t="s">
        <v>8</v>
      </c>
      <c r="G2" s="79" t="s">
        <v>8</v>
      </c>
      <c r="H2" s="79" t="s">
        <v>8</v>
      </c>
      <c r="I2" s="79" t="s">
        <v>8</v>
      </c>
      <c r="J2" s="79" t="s">
        <v>8</v>
      </c>
    </row>
    <row r="3" spans="1:10" ht="15.75" thickBot="1">
      <c r="A3" s="79" t="s">
        <v>8</v>
      </c>
      <c r="B3" s="79" t="s">
        <v>8</v>
      </c>
      <c r="C3" s="79" t="s">
        <v>8</v>
      </c>
      <c r="D3" s="79" t="s">
        <v>8</v>
      </c>
      <c r="E3" s="79" t="s">
        <v>8</v>
      </c>
      <c r="F3" s="79" t="s">
        <v>8</v>
      </c>
      <c r="G3" s="79" t="s">
        <v>8</v>
      </c>
      <c r="H3" s="79" t="s">
        <v>8</v>
      </c>
      <c r="I3" s="79" t="s">
        <v>8</v>
      </c>
      <c r="J3" s="79" t="s">
        <v>8</v>
      </c>
    </row>
    <row r="4" spans="1:10" ht="16.5" thickTop="1" thickBot="1">
      <c r="A4" s="79" t="s">
        <v>8</v>
      </c>
      <c r="B4" s="79" t="s">
        <v>14</v>
      </c>
      <c r="C4" s="79" t="s">
        <v>8</v>
      </c>
      <c r="D4" s="816" t="s">
        <v>15</v>
      </c>
      <c r="E4" s="79" t="s">
        <v>16</v>
      </c>
      <c r="F4" s="816" t="s">
        <v>191</v>
      </c>
      <c r="G4" s="79" t="s">
        <v>8</v>
      </c>
      <c r="H4" s="79" t="s">
        <v>8</v>
      </c>
      <c r="I4" s="79" t="s">
        <v>8</v>
      </c>
      <c r="J4" s="79" t="s">
        <v>8</v>
      </c>
    </row>
    <row r="5" spans="1:10" ht="16.5" thickTop="1" thickBot="1">
      <c r="A5" s="79" t="s">
        <v>8</v>
      </c>
      <c r="B5" s="79" t="s">
        <v>8</v>
      </c>
      <c r="C5" s="79" t="s">
        <v>8</v>
      </c>
      <c r="D5" s="79" t="s">
        <v>8</v>
      </c>
      <c r="E5" s="79" t="s">
        <v>8</v>
      </c>
      <c r="F5" s="79" t="s">
        <v>8</v>
      </c>
      <c r="G5" s="79" t="s">
        <v>8</v>
      </c>
      <c r="H5" s="79" t="s">
        <v>8</v>
      </c>
      <c r="I5" s="79" t="s">
        <v>8</v>
      </c>
      <c r="J5" s="79" t="s">
        <v>8</v>
      </c>
    </row>
    <row r="6" spans="1:10" ht="16.5" thickTop="1" thickBot="1">
      <c r="A6" s="79" t="s">
        <v>8</v>
      </c>
      <c r="B6" s="79" t="s">
        <v>18</v>
      </c>
      <c r="C6" s="79" t="s">
        <v>8</v>
      </c>
      <c r="D6" s="816" t="s">
        <v>19</v>
      </c>
      <c r="E6" s="79" t="s">
        <v>20</v>
      </c>
      <c r="F6" s="816" t="s">
        <v>194</v>
      </c>
      <c r="G6" s="79" t="s">
        <v>8</v>
      </c>
      <c r="H6" s="79" t="s">
        <v>8</v>
      </c>
      <c r="I6" s="79" t="s">
        <v>8</v>
      </c>
      <c r="J6" s="79" t="s">
        <v>8</v>
      </c>
    </row>
    <row r="7" spans="1:10" ht="16.5" thickTop="1" thickBot="1">
      <c r="A7" s="79" t="s">
        <v>8</v>
      </c>
      <c r="B7" s="79" t="s">
        <v>8</v>
      </c>
      <c r="C7" s="79" t="s">
        <v>8</v>
      </c>
      <c r="D7" s="79" t="s">
        <v>8</v>
      </c>
      <c r="E7" s="79" t="s">
        <v>8</v>
      </c>
      <c r="F7" s="79" t="s">
        <v>8</v>
      </c>
      <c r="G7" s="79" t="s">
        <v>8</v>
      </c>
      <c r="H7" s="79" t="s">
        <v>8</v>
      </c>
      <c r="I7" s="79" t="s">
        <v>8</v>
      </c>
      <c r="J7" s="79" t="s">
        <v>8</v>
      </c>
    </row>
    <row r="8" spans="1:10" ht="16.5" thickTop="1" thickBot="1">
      <c r="A8" s="79" t="s">
        <v>8</v>
      </c>
      <c r="B8" s="79" t="s">
        <v>22</v>
      </c>
      <c r="C8" s="79" t="s">
        <v>8</v>
      </c>
      <c r="D8" s="816" t="s">
        <v>11</v>
      </c>
      <c r="E8" s="79" t="s">
        <v>23</v>
      </c>
      <c r="F8" s="816" t="s">
        <v>193</v>
      </c>
      <c r="G8" s="79" t="s">
        <v>8</v>
      </c>
      <c r="H8" s="79" t="s">
        <v>8</v>
      </c>
      <c r="I8" s="79" t="s">
        <v>8</v>
      </c>
      <c r="J8" s="79" t="s">
        <v>8</v>
      </c>
    </row>
    <row r="9" spans="1:10" ht="16.5" thickTop="1" thickBot="1">
      <c r="A9" s="79" t="s">
        <v>8</v>
      </c>
      <c r="B9" s="79" t="s">
        <v>8</v>
      </c>
      <c r="C9" s="79" t="s">
        <v>8</v>
      </c>
      <c r="D9" s="79" t="s">
        <v>8</v>
      </c>
      <c r="E9" s="79" t="s">
        <v>8</v>
      </c>
      <c r="F9" s="79" t="s">
        <v>8</v>
      </c>
      <c r="G9" s="79" t="s">
        <v>8</v>
      </c>
      <c r="H9" s="79" t="s">
        <v>8</v>
      </c>
      <c r="I9" s="79" t="s">
        <v>8</v>
      </c>
      <c r="J9" s="79" t="s">
        <v>8</v>
      </c>
    </row>
    <row r="10" spans="1:10" ht="16.5" thickTop="1" thickBot="1">
      <c r="A10" s="79" t="s">
        <v>8</v>
      </c>
      <c r="B10" s="79" t="s">
        <v>25</v>
      </c>
      <c r="C10" s="79" t="s">
        <v>8</v>
      </c>
      <c r="D10" s="816" t="s">
        <v>26</v>
      </c>
      <c r="E10" s="79" t="s">
        <v>8</v>
      </c>
      <c r="F10" s="79" t="s">
        <v>8</v>
      </c>
      <c r="G10" s="79" t="s">
        <v>8</v>
      </c>
      <c r="H10" s="79" t="s">
        <v>8</v>
      </c>
      <c r="I10" s="79" t="s">
        <v>8</v>
      </c>
      <c r="J10" s="79" t="s">
        <v>8</v>
      </c>
    </row>
    <row r="11" spans="1:10" ht="16.5" thickTop="1" thickBot="1">
      <c r="A11" s="79" t="s">
        <v>8</v>
      </c>
      <c r="B11" s="79" t="s">
        <v>8</v>
      </c>
      <c r="C11" s="79" t="s">
        <v>8</v>
      </c>
      <c r="D11" s="79" t="s">
        <v>8</v>
      </c>
      <c r="E11" s="79" t="s">
        <v>8</v>
      </c>
      <c r="F11" s="79" t="s">
        <v>8</v>
      </c>
      <c r="G11" s="79" t="s">
        <v>8</v>
      </c>
      <c r="H11" s="79" t="s">
        <v>8</v>
      </c>
      <c r="I11" s="79" t="s">
        <v>8</v>
      </c>
      <c r="J11" s="79" t="s">
        <v>8</v>
      </c>
    </row>
    <row r="12" spans="1:10" ht="16.5" thickTop="1" thickBot="1">
      <c r="A12" s="79" t="s">
        <v>8</v>
      </c>
      <c r="B12" s="817" t="s">
        <v>8</v>
      </c>
      <c r="C12" s="818" t="s">
        <v>8</v>
      </c>
      <c r="D12" s="818" t="s">
        <v>8</v>
      </c>
      <c r="E12" s="818" t="s">
        <v>8</v>
      </c>
      <c r="F12" s="818" t="s">
        <v>8</v>
      </c>
      <c r="G12" s="818" t="s">
        <v>8</v>
      </c>
      <c r="H12" s="819" t="s">
        <v>8</v>
      </c>
      <c r="I12" s="79" t="s">
        <v>8</v>
      </c>
      <c r="J12" s="79" t="s">
        <v>8</v>
      </c>
    </row>
    <row r="13" spans="1:10" ht="16.5" thickTop="1" thickBot="1">
      <c r="A13" s="79" t="s">
        <v>8</v>
      </c>
      <c r="B13" s="820" t="s">
        <v>8</v>
      </c>
      <c r="C13" s="815" t="s">
        <v>195</v>
      </c>
      <c r="D13" s="821" t="s">
        <v>28</v>
      </c>
      <c r="E13" s="830">
        <v>0</v>
      </c>
      <c r="F13" s="821" t="s">
        <v>8</v>
      </c>
      <c r="G13" s="821" t="s">
        <v>8</v>
      </c>
      <c r="H13" s="822" t="s">
        <v>8</v>
      </c>
      <c r="I13" s="79" t="s">
        <v>29</v>
      </c>
      <c r="J13" s="79" t="s">
        <v>8</v>
      </c>
    </row>
    <row r="14" spans="1:10" ht="16.5" thickTop="1" thickBot="1">
      <c r="A14" s="79" t="s">
        <v>8</v>
      </c>
      <c r="B14" s="79" t="s">
        <v>8</v>
      </c>
      <c r="C14" s="79" t="s">
        <v>8</v>
      </c>
      <c r="D14" s="79" t="s">
        <v>8</v>
      </c>
      <c r="E14" s="79" t="s">
        <v>8</v>
      </c>
      <c r="F14" s="79" t="s">
        <v>8</v>
      </c>
      <c r="G14" s="79" t="s">
        <v>8</v>
      </c>
      <c r="H14" s="79" t="s">
        <v>8</v>
      </c>
      <c r="I14" s="79" t="s">
        <v>8</v>
      </c>
      <c r="J14" s="79" t="s">
        <v>8</v>
      </c>
    </row>
    <row r="15" spans="1:10" ht="16.5" thickTop="1" thickBot="1">
      <c r="A15" s="79" t="s">
        <v>8</v>
      </c>
      <c r="B15" s="816" t="s">
        <v>30</v>
      </c>
      <c r="C15" s="815" t="s">
        <v>31</v>
      </c>
      <c r="D15" s="815" t="s">
        <v>32</v>
      </c>
      <c r="E15" s="815" t="s">
        <v>33</v>
      </c>
      <c r="F15" s="815" t="s">
        <v>34</v>
      </c>
      <c r="G15" s="815" t="s">
        <v>35</v>
      </c>
      <c r="H15" s="815" t="s">
        <v>36</v>
      </c>
      <c r="I15" s="79" t="s">
        <v>8</v>
      </c>
      <c r="J15" s="79" t="s">
        <v>8</v>
      </c>
    </row>
    <row r="16" spans="1:10" ht="16.5" thickTop="1" thickBot="1">
      <c r="A16" s="79" t="s">
        <v>8</v>
      </c>
      <c r="B16" s="79" t="s">
        <v>8</v>
      </c>
      <c r="C16" s="79" t="s">
        <v>8</v>
      </c>
      <c r="D16" s="79" t="s">
        <v>8</v>
      </c>
      <c r="E16" s="79" t="s">
        <v>8</v>
      </c>
      <c r="F16" s="79" t="s">
        <v>8</v>
      </c>
      <c r="G16" s="79" t="s">
        <v>8</v>
      </c>
      <c r="H16" s="79" t="s">
        <v>8</v>
      </c>
      <c r="I16" s="79" t="s">
        <v>8</v>
      </c>
      <c r="J16" s="79" t="s">
        <v>8</v>
      </c>
    </row>
    <row r="17" spans="1:10" ht="15.75" thickTop="1">
      <c r="A17" s="79" t="s">
        <v>8</v>
      </c>
      <c r="B17" s="832" t="s">
        <v>8</v>
      </c>
      <c r="C17" s="832" t="s">
        <v>8</v>
      </c>
      <c r="D17" s="837" t="s">
        <v>37</v>
      </c>
      <c r="E17" s="832" t="s">
        <v>8</v>
      </c>
      <c r="F17" s="832" t="s">
        <v>8</v>
      </c>
      <c r="G17" s="832" t="s">
        <v>8</v>
      </c>
      <c r="H17" s="819" t="s">
        <v>8</v>
      </c>
      <c r="I17" s="79" t="s">
        <v>8</v>
      </c>
      <c r="J17" s="79" t="s">
        <v>8</v>
      </c>
    </row>
    <row r="18" spans="1:10">
      <c r="A18" s="79" t="s">
        <v>8</v>
      </c>
      <c r="B18" s="833" t="s">
        <v>8</v>
      </c>
      <c r="C18" s="835" t="s">
        <v>8</v>
      </c>
      <c r="D18" s="835" t="s">
        <v>8</v>
      </c>
      <c r="E18" s="839" t="s">
        <v>8</v>
      </c>
      <c r="F18" s="835" t="s">
        <v>8</v>
      </c>
      <c r="G18" s="841" t="s">
        <v>8</v>
      </c>
      <c r="H18" s="827" t="s">
        <v>8</v>
      </c>
      <c r="I18" s="79" t="s">
        <v>8</v>
      </c>
      <c r="J18" s="79" t="s">
        <v>8</v>
      </c>
    </row>
    <row r="19" spans="1:10">
      <c r="A19" s="79" t="s">
        <v>8</v>
      </c>
      <c r="B19" s="833" t="s">
        <v>8</v>
      </c>
      <c r="C19" s="835" t="s">
        <v>8</v>
      </c>
      <c r="D19" s="835" t="s">
        <v>8</v>
      </c>
      <c r="E19" s="839" t="s">
        <v>8</v>
      </c>
      <c r="F19" s="835" t="s">
        <v>8</v>
      </c>
      <c r="G19" s="841" t="s">
        <v>8</v>
      </c>
      <c r="H19" s="827" t="s">
        <v>8</v>
      </c>
      <c r="I19" s="79" t="s">
        <v>8</v>
      </c>
      <c r="J19" s="79" t="s">
        <v>8</v>
      </c>
    </row>
    <row r="20" spans="1:10" ht="15.75" thickBot="1">
      <c r="A20" s="79" t="s">
        <v>8</v>
      </c>
      <c r="B20" s="834" t="s">
        <v>8</v>
      </c>
      <c r="C20" s="836" t="s">
        <v>8</v>
      </c>
      <c r="D20" s="838" t="s">
        <v>51</v>
      </c>
      <c r="E20" s="840">
        <f>SUM($E$18:$E$19)</f>
        <v>0</v>
      </c>
      <c r="F20" s="836" t="s">
        <v>8</v>
      </c>
      <c r="G20" s="842" t="s">
        <v>8</v>
      </c>
      <c r="H20" s="822" t="s">
        <v>8</v>
      </c>
      <c r="I20" s="79" t="s">
        <v>8</v>
      </c>
      <c r="J20" s="79" t="s">
        <v>8</v>
      </c>
    </row>
    <row r="21" spans="1:10" ht="15.75" thickTop="1">
      <c r="A21" s="79" t="s">
        <v>8</v>
      </c>
      <c r="B21" s="824" t="s">
        <v>8</v>
      </c>
      <c r="C21" s="79" t="s">
        <v>8</v>
      </c>
      <c r="D21" s="79" t="s">
        <v>8</v>
      </c>
      <c r="E21" s="80" t="s">
        <v>8</v>
      </c>
      <c r="F21" s="79" t="s">
        <v>8</v>
      </c>
      <c r="G21" s="823" t="s">
        <v>8</v>
      </c>
      <c r="H21" s="79" t="s">
        <v>8</v>
      </c>
      <c r="I21" s="79" t="s">
        <v>8</v>
      </c>
      <c r="J21" s="79" t="s">
        <v>8</v>
      </c>
    </row>
    <row r="22" spans="1:10" ht="15.75" thickBot="1">
      <c r="A22" s="79" t="s">
        <v>8</v>
      </c>
      <c r="B22" s="824" t="s">
        <v>8</v>
      </c>
      <c r="C22" s="79" t="s">
        <v>8</v>
      </c>
      <c r="D22" s="79" t="s">
        <v>8</v>
      </c>
      <c r="E22" s="80" t="s">
        <v>8</v>
      </c>
      <c r="F22" s="79" t="s">
        <v>8</v>
      </c>
      <c r="G22" s="823" t="s">
        <v>8</v>
      </c>
      <c r="H22" s="79" t="s">
        <v>8</v>
      </c>
      <c r="I22" s="79" t="s">
        <v>8</v>
      </c>
      <c r="J22" s="79" t="s">
        <v>8</v>
      </c>
    </row>
    <row r="23" spans="1:10" ht="15.75" thickTop="1">
      <c r="A23" s="79" t="s">
        <v>8</v>
      </c>
      <c r="B23" s="846" t="s">
        <v>8</v>
      </c>
      <c r="C23" s="832" t="s">
        <v>8</v>
      </c>
      <c r="D23" s="837" t="s">
        <v>52</v>
      </c>
      <c r="E23" s="847" t="s">
        <v>8</v>
      </c>
      <c r="F23" s="832" t="s">
        <v>8</v>
      </c>
      <c r="G23" s="848" t="s">
        <v>8</v>
      </c>
      <c r="H23" s="819" t="s">
        <v>8</v>
      </c>
      <c r="I23" s="79" t="s">
        <v>8</v>
      </c>
      <c r="J23" s="79" t="s">
        <v>8</v>
      </c>
    </row>
    <row r="24" spans="1:10">
      <c r="A24" s="79" t="s">
        <v>8</v>
      </c>
      <c r="B24" s="833" t="s">
        <v>8</v>
      </c>
      <c r="C24" s="835" t="s">
        <v>8</v>
      </c>
      <c r="D24" s="835" t="s">
        <v>8</v>
      </c>
      <c r="E24" s="839" t="s">
        <v>8</v>
      </c>
      <c r="F24" s="835" t="s">
        <v>8</v>
      </c>
      <c r="G24" s="841" t="s">
        <v>8</v>
      </c>
      <c r="H24" s="827" t="s">
        <v>8</v>
      </c>
      <c r="I24" s="79" t="s">
        <v>8</v>
      </c>
      <c r="J24" s="79" t="s">
        <v>8</v>
      </c>
    </row>
    <row r="25" spans="1:10">
      <c r="A25" s="79" t="s">
        <v>8</v>
      </c>
      <c r="B25" s="833" t="s">
        <v>8</v>
      </c>
      <c r="C25" s="835" t="s">
        <v>8</v>
      </c>
      <c r="D25" s="835" t="s">
        <v>8</v>
      </c>
      <c r="E25" s="839" t="s">
        <v>8</v>
      </c>
      <c r="F25" s="835" t="s">
        <v>8</v>
      </c>
      <c r="G25" s="841" t="s">
        <v>8</v>
      </c>
      <c r="H25" s="827" t="s">
        <v>8</v>
      </c>
      <c r="I25" s="79" t="s">
        <v>8</v>
      </c>
      <c r="J25" s="79" t="s">
        <v>8</v>
      </c>
    </row>
    <row r="26" spans="1:10" ht="15.75" thickBot="1">
      <c r="A26" s="79" t="s">
        <v>8</v>
      </c>
      <c r="B26" s="834" t="s">
        <v>8</v>
      </c>
      <c r="C26" s="836" t="s">
        <v>8</v>
      </c>
      <c r="D26" s="838" t="s">
        <v>51</v>
      </c>
      <c r="E26" s="840">
        <f>SUM($E$24:$E$25)</f>
        <v>0</v>
      </c>
      <c r="F26" s="836" t="s">
        <v>8</v>
      </c>
      <c r="G26" s="842" t="s">
        <v>8</v>
      </c>
      <c r="H26" s="822" t="s">
        <v>8</v>
      </c>
      <c r="I26" s="79" t="s">
        <v>8</v>
      </c>
      <c r="J26" s="79" t="s">
        <v>8</v>
      </c>
    </row>
    <row r="27" spans="1:10" ht="15.75" thickTop="1">
      <c r="A27" s="79" t="s">
        <v>8</v>
      </c>
      <c r="B27" s="824" t="s">
        <v>8</v>
      </c>
      <c r="C27" s="79" t="s">
        <v>8</v>
      </c>
      <c r="D27" s="79" t="s">
        <v>8</v>
      </c>
      <c r="E27" s="80" t="s">
        <v>8</v>
      </c>
      <c r="F27" s="79" t="s">
        <v>8</v>
      </c>
      <c r="G27" s="823" t="s">
        <v>8</v>
      </c>
      <c r="H27" s="79" t="s">
        <v>8</v>
      </c>
      <c r="I27" s="79" t="s">
        <v>8</v>
      </c>
      <c r="J27" s="79" t="s">
        <v>8</v>
      </c>
    </row>
    <row r="28" spans="1:10" ht="15.75" thickBot="1">
      <c r="A28" s="79" t="s">
        <v>8</v>
      </c>
      <c r="B28" s="824" t="s">
        <v>8</v>
      </c>
      <c r="C28" s="79" t="s">
        <v>8</v>
      </c>
      <c r="D28" s="79" t="s">
        <v>8</v>
      </c>
      <c r="E28" s="80" t="s">
        <v>8</v>
      </c>
      <c r="F28" s="79" t="s">
        <v>8</v>
      </c>
      <c r="G28" s="823" t="s">
        <v>8</v>
      </c>
      <c r="H28" s="79" t="s">
        <v>8</v>
      </c>
      <c r="I28" s="79" t="s">
        <v>8</v>
      </c>
      <c r="J28" s="79" t="s">
        <v>8</v>
      </c>
    </row>
    <row r="29" spans="1:10" ht="15.75" thickTop="1">
      <c r="A29" s="79" t="s">
        <v>8</v>
      </c>
      <c r="B29" s="846" t="s">
        <v>8</v>
      </c>
      <c r="C29" s="832" t="s">
        <v>8</v>
      </c>
      <c r="D29" s="837" t="s">
        <v>85</v>
      </c>
      <c r="E29" s="847" t="s">
        <v>8</v>
      </c>
      <c r="F29" s="832" t="s">
        <v>8</v>
      </c>
      <c r="G29" s="848" t="s">
        <v>8</v>
      </c>
      <c r="H29" s="819" t="s">
        <v>8</v>
      </c>
      <c r="I29" s="79" t="s">
        <v>8</v>
      </c>
      <c r="J29" s="79" t="s">
        <v>8</v>
      </c>
    </row>
    <row r="30" spans="1:10">
      <c r="A30" s="79" t="s">
        <v>8</v>
      </c>
      <c r="B30" s="833" t="s">
        <v>8</v>
      </c>
      <c r="C30" s="835" t="s">
        <v>8</v>
      </c>
      <c r="D30" s="835" t="s">
        <v>8</v>
      </c>
      <c r="E30" s="839" t="s">
        <v>8</v>
      </c>
      <c r="F30" s="835" t="s">
        <v>8</v>
      </c>
      <c r="G30" s="841" t="s">
        <v>8</v>
      </c>
      <c r="H30" s="827" t="s">
        <v>8</v>
      </c>
      <c r="I30" s="79" t="s">
        <v>8</v>
      </c>
      <c r="J30" s="79" t="s">
        <v>8</v>
      </c>
    </row>
    <row r="31" spans="1:10">
      <c r="A31" s="79" t="s">
        <v>8</v>
      </c>
      <c r="B31" s="833" t="s">
        <v>8</v>
      </c>
      <c r="C31" s="835" t="s">
        <v>8</v>
      </c>
      <c r="D31" s="835" t="s">
        <v>8</v>
      </c>
      <c r="E31" s="839" t="s">
        <v>8</v>
      </c>
      <c r="F31" s="835" t="s">
        <v>8</v>
      </c>
      <c r="G31" s="841" t="s">
        <v>8</v>
      </c>
      <c r="H31" s="827" t="s">
        <v>8</v>
      </c>
      <c r="I31" s="79" t="s">
        <v>8</v>
      </c>
      <c r="J31" s="79" t="s">
        <v>8</v>
      </c>
    </row>
    <row r="32" spans="1:10" ht="15.75" thickBot="1">
      <c r="A32" s="79" t="s">
        <v>8</v>
      </c>
      <c r="B32" s="834" t="s">
        <v>8</v>
      </c>
      <c r="C32" s="836" t="s">
        <v>8</v>
      </c>
      <c r="D32" s="838" t="s">
        <v>51</v>
      </c>
      <c r="E32" s="840">
        <f>SUM($E$30:$E$31)</f>
        <v>0</v>
      </c>
      <c r="F32" s="836" t="s">
        <v>8</v>
      </c>
      <c r="G32" s="842" t="s">
        <v>8</v>
      </c>
      <c r="H32" s="822" t="s">
        <v>8</v>
      </c>
      <c r="I32" s="79" t="s">
        <v>8</v>
      </c>
      <c r="J32" s="79" t="s">
        <v>8</v>
      </c>
    </row>
    <row r="33" spans="1:10" ht="15.75" thickTop="1">
      <c r="A33" s="79" t="s">
        <v>8</v>
      </c>
      <c r="B33" s="824" t="s">
        <v>8</v>
      </c>
      <c r="C33" s="79" t="s">
        <v>8</v>
      </c>
      <c r="D33" s="79" t="s">
        <v>8</v>
      </c>
      <c r="E33" s="80" t="s">
        <v>8</v>
      </c>
      <c r="F33" s="79" t="s">
        <v>8</v>
      </c>
      <c r="G33" s="823" t="s">
        <v>8</v>
      </c>
      <c r="H33" s="79" t="s">
        <v>8</v>
      </c>
      <c r="I33" s="79" t="s">
        <v>8</v>
      </c>
      <c r="J33" s="79" t="s">
        <v>8</v>
      </c>
    </row>
    <row r="34" spans="1:10" ht="15.75" thickBot="1">
      <c r="A34" s="79" t="s">
        <v>8</v>
      </c>
      <c r="B34" s="824" t="s">
        <v>8</v>
      </c>
      <c r="C34" s="79" t="s">
        <v>8</v>
      </c>
      <c r="D34" s="79" t="s">
        <v>8</v>
      </c>
      <c r="E34" s="80" t="s">
        <v>8</v>
      </c>
      <c r="F34" s="79" t="s">
        <v>8</v>
      </c>
      <c r="G34" s="823" t="s">
        <v>8</v>
      </c>
      <c r="H34" s="79" t="s">
        <v>8</v>
      </c>
      <c r="I34" s="79" t="s">
        <v>8</v>
      </c>
      <c r="J34" s="79" t="s">
        <v>8</v>
      </c>
    </row>
    <row r="35" spans="1:10" ht="15.75" thickTop="1">
      <c r="A35" s="79" t="s">
        <v>8</v>
      </c>
      <c r="B35" s="846" t="s">
        <v>8</v>
      </c>
      <c r="C35" s="832" t="s">
        <v>8</v>
      </c>
      <c r="D35" s="837" t="s">
        <v>95</v>
      </c>
      <c r="E35" s="847" t="s">
        <v>8</v>
      </c>
      <c r="F35" s="832" t="s">
        <v>8</v>
      </c>
      <c r="G35" s="848" t="s">
        <v>8</v>
      </c>
      <c r="H35" s="819" t="s">
        <v>8</v>
      </c>
      <c r="I35" s="79" t="s">
        <v>8</v>
      </c>
      <c r="J35" s="79" t="s">
        <v>8</v>
      </c>
    </row>
    <row r="36" spans="1:10">
      <c r="A36" s="79" t="s">
        <v>8</v>
      </c>
      <c r="B36" s="833" t="s">
        <v>8</v>
      </c>
      <c r="C36" s="835" t="s">
        <v>8</v>
      </c>
      <c r="D36" s="835" t="s">
        <v>8</v>
      </c>
      <c r="E36" s="839" t="s">
        <v>8</v>
      </c>
      <c r="F36" s="835" t="s">
        <v>8</v>
      </c>
      <c r="G36" s="841" t="s">
        <v>8</v>
      </c>
      <c r="H36" s="827" t="s">
        <v>8</v>
      </c>
      <c r="I36" s="79" t="s">
        <v>8</v>
      </c>
      <c r="J36" s="79" t="s">
        <v>8</v>
      </c>
    </row>
    <row r="37" spans="1:10">
      <c r="A37" s="79" t="s">
        <v>8</v>
      </c>
      <c r="B37" s="833" t="s">
        <v>8</v>
      </c>
      <c r="C37" s="835" t="s">
        <v>8</v>
      </c>
      <c r="D37" s="835" t="s">
        <v>8</v>
      </c>
      <c r="E37" s="839" t="s">
        <v>8</v>
      </c>
      <c r="F37" s="835" t="s">
        <v>8</v>
      </c>
      <c r="G37" s="841" t="s">
        <v>8</v>
      </c>
      <c r="H37" s="827" t="s">
        <v>8</v>
      </c>
      <c r="I37" s="79" t="s">
        <v>8</v>
      </c>
      <c r="J37" s="79" t="s">
        <v>8</v>
      </c>
    </row>
    <row r="38" spans="1:10" ht="15.75" thickBot="1">
      <c r="A38" s="79" t="s">
        <v>8</v>
      </c>
      <c r="B38" s="834" t="s">
        <v>8</v>
      </c>
      <c r="C38" s="836" t="s">
        <v>8</v>
      </c>
      <c r="D38" s="838" t="s">
        <v>51</v>
      </c>
      <c r="E38" s="840">
        <f>SUM($E$36:$E$37)</f>
        <v>0</v>
      </c>
      <c r="F38" s="836" t="s">
        <v>8</v>
      </c>
      <c r="G38" s="842" t="s">
        <v>8</v>
      </c>
      <c r="H38" s="822" t="s">
        <v>8</v>
      </c>
      <c r="I38" s="79" t="s">
        <v>8</v>
      </c>
      <c r="J38" s="79" t="s">
        <v>8</v>
      </c>
    </row>
    <row r="39" spans="1:10" ht="16.5" thickTop="1" thickBot="1">
      <c r="A39" s="79" t="s">
        <v>8</v>
      </c>
      <c r="B39" s="824" t="s">
        <v>8</v>
      </c>
      <c r="C39" s="79" t="s">
        <v>8</v>
      </c>
      <c r="D39" s="79" t="s">
        <v>8</v>
      </c>
      <c r="E39" s="80" t="s">
        <v>8</v>
      </c>
      <c r="F39" s="79" t="s">
        <v>8</v>
      </c>
      <c r="G39" s="823" t="s">
        <v>8</v>
      </c>
      <c r="H39" s="79" t="s">
        <v>8</v>
      </c>
      <c r="I39" s="79" t="s">
        <v>8</v>
      </c>
      <c r="J39" s="79" t="s">
        <v>8</v>
      </c>
    </row>
    <row r="40" spans="1:10" ht="15.75" thickTop="1">
      <c r="A40" s="79" t="s">
        <v>8</v>
      </c>
      <c r="B40" s="843" t="s">
        <v>8</v>
      </c>
      <c r="C40" s="818" t="s">
        <v>8</v>
      </c>
      <c r="D40" s="818" t="s">
        <v>8</v>
      </c>
      <c r="E40" s="844" t="s">
        <v>8</v>
      </c>
      <c r="F40" s="818" t="s">
        <v>8</v>
      </c>
      <c r="G40" s="845" t="s">
        <v>8</v>
      </c>
      <c r="H40" s="819" t="s">
        <v>8</v>
      </c>
      <c r="I40" s="79" t="s">
        <v>8</v>
      </c>
      <c r="J40" s="79" t="s">
        <v>8</v>
      </c>
    </row>
    <row r="41" spans="1:10">
      <c r="A41" s="79" t="s">
        <v>8</v>
      </c>
      <c r="B41" s="826" t="s">
        <v>8</v>
      </c>
      <c r="C41" s="2037" t="s">
        <v>8</v>
      </c>
      <c r="D41" s="2039" t="s">
        <v>114</v>
      </c>
      <c r="E41" s="2038">
        <f>ABS(E13+$E$20-$E$38+$E$26-$E$32)</f>
        <v>0</v>
      </c>
      <c r="F41" s="2037" t="s">
        <v>8</v>
      </c>
      <c r="G41" s="2041" t="s">
        <v>8</v>
      </c>
      <c r="H41" s="827" t="s">
        <v>8</v>
      </c>
      <c r="I41" s="79" t="s">
        <v>8</v>
      </c>
      <c r="J41" s="79" t="s">
        <v>8</v>
      </c>
    </row>
    <row r="42" spans="1:10">
      <c r="A42" s="79" t="s">
        <v>8</v>
      </c>
      <c r="B42" s="826" t="s">
        <v>8</v>
      </c>
      <c r="C42" s="2037" t="s">
        <v>8</v>
      </c>
      <c r="D42" s="2039" t="s">
        <v>115</v>
      </c>
      <c r="E42" s="2038">
        <v>0</v>
      </c>
      <c r="F42" s="2037" t="s">
        <v>8</v>
      </c>
      <c r="G42" s="2041" t="s">
        <v>8</v>
      </c>
      <c r="H42" s="827" t="s">
        <v>8</v>
      </c>
      <c r="I42" s="79" t="s">
        <v>116</v>
      </c>
      <c r="J42" s="79" t="s">
        <v>8</v>
      </c>
    </row>
    <row r="43" spans="1:10" ht="15.75" thickBot="1">
      <c r="A43" s="79" t="s">
        <v>8</v>
      </c>
      <c r="B43" s="828" t="s">
        <v>8</v>
      </c>
      <c r="C43" s="821" t="s">
        <v>8</v>
      </c>
      <c r="D43" s="829" t="s">
        <v>117</v>
      </c>
      <c r="E43" s="830">
        <f>$E$42-$E$41</f>
        <v>0</v>
      </c>
      <c r="F43" s="821" t="s">
        <v>8</v>
      </c>
      <c r="G43" s="831" t="s">
        <v>8</v>
      </c>
      <c r="H43" s="822" t="s">
        <v>8</v>
      </c>
      <c r="I43" s="79" t="s">
        <v>8</v>
      </c>
      <c r="J43" s="79" t="s">
        <v>8</v>
      </c>
    </row>
    <row r="44" spans="1:10" ht="16.5" thickTop="1" thickBot="1">
      <c r="A44" s="79" t="s">
        <v>8</v>
      </c>
      <c r="B44" s="824" t="s">
        <v>8</v>
      </c>
      <c r="C44" s="79" t="s">
        <v>8</v>
      </c>
      <c r="D44" s="79" t="s">
        <v>8</v>
      </c>
      <c r="E44" s="80" t="s">
        <v>8</v>
      </c>
      <c r="F44" s="79" t="s">
        <v>8</v>
      </c>
      <c r="G44" s="823" t="s">
        <v>8</v>
      </c>
      <c r="H44" s="79" t="s">
        <v>8</v>
      </c>
      <c r="I44" s="79" t="s">
        <v>8</v>
      </c>
      <c r="J44" s="79" t="s">
        <v>8</v>
      </c>
    </row>
    <row r="45" spans="1:10" ht="15.75" thickTop="1">
      <c r="A45" s="79" t="s">
        <v>8</v>
      </c>
      <c r="B45" s="843" t="s">
        <v>8</v>
      </c>
      <c r="C45" s="818" t="s">
        <v>8</v>
      </c>
      <c r="D45" s="825" t="s">
        <v>118</v>
      </c>
      <c r="E45" s="849" t="s">
        <v>119</v>
      </c>
      <c r="F45" s="825" t="s">
        <v>120</v>
      </c>
      <c r="G45" s="845">
        <v>45981</v>
      </c>
      <c r="H45" s="819" t="s">
        <v>8</v>
      </c>
      <c r="I45" s="79" t="s">
        <v>8</v>
      </c>
      <c r="J45" s="79" t="s">
        <v>8</v>
      </c>
    </row>
    <row r="46" spans="1:10">
      <c r="A46" s="79" t="s">
        <v>8</v>
      </c>
      <c r="B46" s="826" t="s">
        <v>8</v>
      </c>
      <c r="C46" s="2037" t="s">
        <v>8</v>
      </c>
      <c r="D46" s="2037" t="s">
        <v>8</v>
      </c>
      <c r="E46" s="2040" t="s">
        <v>8</v>
      </c>
      <c r="F46" s="2037" t="s">
        <v>8</v>
      </c>
      <c r="G46" s="2041" t="s">
        <v>8</v>
      </c>
      <c r="H46" s="827" t="s">
        <v>8</v>
      </c>
      <c r="I46" s="79" t="s">
        <v>8</v>
      </c>
      <c r="J46" s="79" t="s">
        <v>8</v>
      </c>
    </row>
    <row r="47" spans="1:10">
      <c r="A47" s="79" t="s">
        <v>8</v>
      </c>
      <c r="B47" s="826" t="s">
        <v>8</v>
      </c>
      <c r="C47" s="2037" t="s">
        <v>8</v>
      </c>
      <c r="D47" s="2037" t="s">
        <v>8</v>
      </c>
      <c r="E47" s="2040" t="s">
        <v>8</v>
      </c>
      <c r="F47" s="2037" t="s">
        <v>8</v>
      </c>
      <c r="G47" s="2041" t="s">
        <v>8</v>
      </c>
      <c r="H47" s="827" t="s">
        <v>8</v>
      </c>
      <c r="I47" s="79" t="s">
        <v>8</v>
      </c>
      <c r="J47" s="79" t="s">
        <v>8</v>
      </c>
    </row>
    <row r="48" spans="1:10">
      <c r="A48" s="79" t="s">
        <v>8</v>
      </c>
      <c r="B48" s="826" t="s">
        <v>8</v>
      </c>
      <c r="C48" s="2037" t="s">
        <v>8</v>
      </c>
      <c r="D48" s="2039" t="s">
        <v>121</v>
      </c>
      <c r="E48" s="2038" t="s">
        <v>8</v>
      </c>
      <c r="F48" s="2039" t="s">
        <v>120</v>
      </c>
      <c r="G48" s="2041" t="s">
        <v>8</v>
      </c>
      <c r="H48" s="827" t="s">
        <v>8</v>
      </c>
      <c r="I48" s="79" t="s">
        <v>8</v>
      </c>
      <c r="J48" s="79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6.5703125" bestFit="1" customWidth="1"/>
    <col min="5" max="5" width="24.5703125" bestFit="1" customWidth="1"/>
    <col min="6" max="6" width="16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196</v>
      </c>
    </row>
    <row r="2" spans="1:9">
      <c r="A2" s="82" t="s">
        <v>8</v>
      </c>
      <c r="B2" s="82" t="s">
        <v>8</v>
      </c>
      <c r="C2" s="82" t="s">
        <v>8</v>
      </c>
      <c r="D2" s="82" t="s">
        <v>8</v>
      </c>
      <c r="E2" s="82" t="s">
        <v>8</v>
      </c>
      <c r="F2" s="82" t="s">
        <v>8</v>
      </c>
      <c r="G2" s="82" t="s">
        <v>8</v>
      </c>
      <c r="H2" s="82" t="s">
        <v>8</v>
      </c>
      <c r="I2" s="82" t="s">
        <v>8</v>
      </c>
    </row>
    <row r="3" spans="1:9" ht="15.75" thickBot="1">
      <c r="A3" s="82" t="s">
        <v>8</v>
      </c>
      <c r="B3" s="82" t="s">
        <v>8</v>
      </c>
      <c r="C3" s="82" t="s">
        <v>8</v>
      </c>
      <c r="D3" s="82" t="s">
        <v>8</v>
      </c>
      <c r="E3" s="82" t="s">
        <v>8</v>
      </c>
      <c r="F3" s="82" t="s">
        <v>8</v>
      </c>
      <c r="G3" s="82" t="s">
        <v>8</v>
      </c>
      <c r="H3" s="82" t="s">
        <v>8</v>
      </c>
      <c r="I3" s="82" t="s">
        <v>8</v>
      </c>
    </row>
    <row r="4" spans="1:9" ht="16.5" thickTop="1" thickBot="1">
      <c r="A4" s="82" t="s">
        <v>8</v>
      </c>
      <c r="B4" s="82" t="s">
        <v>14</v>
      </c>
      <c r="C4" s="82" t="s">
        <v>8</v>
      </c>
      <c r="D4" s="851" t="s">
        <v>15</v>
      </c>
      <c r="E4" s="82" t="s">
        <v>16</v>
      </c>
      <c r="F4" s="851" t="s">
        <v>197</v>
      </c>
      <c r="G4" s="82" t="s">
        <v>8</v>
      </c>
      <c r="H4" s="82" t="s">
        <v>8</v>
      </c>
      <c r="I4" s="82" t="s">
        <v>8</v>
      </c>
    </row>
    <row r="5" spans="1:9" ht="16.5" thickTop="1" thickBot="1">
      <c r="A5" s="82" t="s">
        <v>8</v>
      </c>
      <c r="B5" s="82" t="s">
        <v>8</v>
      </c>
      <c r="C5" s="82" t="s">
        <v>8</v>
      </c>
      <c r="D5" s="82" t="s">
        <v>8</v>
      </c>
      <c r="E5" s="82" t="s">
        <v>8</v>
      </c>
      <c r="F5" s="82" t="s">
        <v>8</v>
      </c>
      <c r="G5" s="82" t="s">
        <v>8</v>
      </c>
      <c r="H5" s="82" t="s">
        <v>8</v>
      </c>
      <c r="I5" s="82" t="s">
        <v>8</v>
      </c>
    </row>
    <row r="6" spans="1:9" ht="16.5" thickTop="1" thickBot="1">
      <c r="A6" s="82" t="s">
        <v>8</v>
      </c>
      <c r="B6" s="82" t="s">
        <v>18</v>
      </c>
      <c r="C6" s="82" t="s">
        <v>8</v>
      </c>
      <c r="D6" s="851" t="s">
        <v>19</v>
      </c>
      <c r="E6" s="82" t="s">
        <v>20</v>
      </c>
      <c r="F6" s="851" t="s">
        <v>198</v>
      </c>
      <c r="G6" s="82" t="s">
        <v>8</v>
      </c>
      <c r="H6" s="82" t="s">
        <v>8</v>
      </c>
      <c r="I6" s="82" t="s">
        <v>8</v>
      </c>
    </row>
    <row r="7" spans="1:9" ht="16.5" thickTop="1" thickBot="1">
      <c r="A7" s="82" t="s">
        <v>8</v>
      </c>
      <c r="B7" s="82" t="s">
        <v>8</v>
      </c>
      <c r="C7" s="82" t="s">
        <v>8</v>
      </c>
      <c r="D7" s="82" t="s">
        <v>8</v>
      </c>
      <c r="E7" s="82" t="s">
        <v>8</v>
      </c>
      <c r="F7" s="82" t="s">
        <v>8</v>
      </c>
      <c r="G7" s="82" t="s">
        <v>8</v>
      </c>
      <c r="H7" s="82" t="s">
        <v>8</v>
      </c>
      <c r="I7" s="82" t="s">
        <v>8</v>
      </c>
    </row>
    <row r="8" spans="1:9" ht="16.5" thickTop="1" thickBot="1">
      <c r="A8" s="82" t="s">
        <v>8</v>
      </c>
      <c r="B8" s="82" t="s">
        <v>22</v>
      </c>
      <c r="C8" s="82" t="s">
        <v>8</v>
      </c>
      <c r="D8" s="851" t="s">
        <v>11</v>
      </c>
      <c r="E8" s="82" t="s">
        <v>23</v>
      </c>
      <c r="F8" s="851" t="s">
        <v>199</v>
      </c>
      <c r="G8" s="82" t="s">
        <v>8</v>
      </c>
      <c r="H8" s="82" t="s">
        <v>8</v>
      </c>
      <c r="I8" s="82" t="s">
        <v>8</v>
      </c>
    </row>
    <row r="9" spans="1:9" ht="16.5" thickTop="1" thickBot="1">
      <c r="A9" s="82" t="s">
        <v>8</v>
      </c>
      <c r="B9" s="82" t="s">
        <v>8</v>
      </c>
      <c r="C9" s="82" t="s">
        <v>8</v>
      </c>
      <c r="D9" s="82" t="s">
        <v>8</v>
      </c>
      <c r="E9" s="82" t="s">
        <v>8</v>
      </c>
      <c r="F9" s="82" t="s">
        <v>8</v>
      </c>
      <c r="G9" s="82" t="s">
        <v>8</v>
      </c>
      <c r="H9" s="82" t="s">
        <v>8</v>
      </c>
      <c r="I9" s="82" t="s">
        <v>8</v>
      </c>
    </row>
    <row r="10" spans="1:9" ht="16.5" thickTop="1" thickBot="1">
      <c r="A10" s="82" t="s">
        <v>8</v>
      </c>
      <c r="B10" s="82" t="s">
        <v>25</v>
      </c>
      <c r="C10" s="82" t="s">
        <v>8</v>
      </c>
      <c r="D10" s="851" t="s">
        <v>26</v>
      </c>
      <c r="E10" s="82" t="s">
        <v>8</v>
      </c>
      <c r="F10" s="82" t="s">
        <v>8</v>
      </c>
      <c r="G10" s="82" t="s">
        <v>8</v>
      </c>
      <c r="H10" s="82" t="s">
        <v>8</v>
      </c>
      <c r="I10" s="82" t="s">
        <v>8</v>
      </c>
    </row>
    <row r="11" spans="1:9" ht="16.5" thickTop="1" thickBot="1">
      <c r="A11" s="82" t="s">
        <v>8</v>
      </c>
      <c r="B11" s="82" t="s">
        <v>8</v>
      </c>
      <c r="C11" s="82" t="s">
        <v>8</v>
      </c>
      <c r="D11" s="82" t="s">
        <v>8</v>
      </c>
      <c r="E11" s="82" t="s">
        <v>8</v>
      </c>
      <c r="F11" s="82" t="s">
        <v>8</v>
      </c>
      <c r="G11" s="82" t="s">
        <v>8</v>
      </c>
      <c r="H11" s="82" t="s">
        <v>8</v>
      </c>
      <c r="I11" s="82" t="s">
        <v>8</v>
      </c>
    </row>
    <row r="12" spans="1:9" ht="16.5" thickTop="1" thickBot="1">
      <c r="A12" s="82" t="s">
        <v>8</v>
      </c>
      <c r="B12" s="852" t="s">
        <v>8</v>
      </c>
      <c r="C12" s="853" t="s">
        <v>8</v>
      </c>
      <c r="D12" s="853" t="s">
        <v>8</v>
      </c>
      <c r="E12" s="853" t="s">
        <v>8</v>
      </c>
      <c r="F12" s="853" t="s">
        <v>8</v>
      </c>
      <c r="G12" s="853" t="s">
        <v>8</v>
      </c>
      <c r="H12" s="854" t="s">
        <v>8</v>
      </c>
      <c r="I12" s="82" t="s">
        <v>8</v>
      </c>
    </row>
    <row r="13" spans="1:9" ht="16.5" thickTop="1" thickBot="1">
      <c r="A13" s="82" t="s">
        <v>8</v>
      </c>
      <c r="B13" s="855" t="s">
        <v>8</v>
      </c>
      <c r="C13" s="850" t="s">
        <v>11</v>
      </c>
      <c r="D13" s="856" t="s">
        <v>28</v>
      </c>
      <c r="E13" s="865">
        <v>0</v>
      </c>
      <c r="F13" s="856" t="s">
        <v>8</v>
      </c>
      <c r="G13" s="856" t="s">
        <v>8</v>
      </c>
      <c r="H13" s="857" t="s">
        <v>8</v>
      </c>
      <c r="I13" s="82" t="s">
        <v>116</v>
      </c>
    </row>
    <row r="14" spans="1:9" ht="16.5" thickTop="1" thickBot="1">
      <c r="A14" s="82" t="s">
        <v>8</v>
      </c>
      <c r="B14" s="82" t="s">
        <v>8</v>
      </c>
      <c r="C14" s="82" t="s">
        <v>8</v>
      </c>
      <c r="D14" s="82" t="s">
        <v>8</v>
      </c>
      <c r="E14" s="82" t="s">
        <v>8</v>
      </c>
      <c r="F14" s="82" t="s">
        <v>8</v>
      </c>
      <c r="G14" s="82" t="s">
        <v>8</v>
      </c>
      <c r="H14" s="82" t="s">
        <v>8</v>
      </c>
      <c r="I14" s="82" t="s">
        <v>8</v>
      </c>
    </row>
    <row r="15" spans="1:9" ht="16.5" thickTop="1" thickBot="1">
      <c r="A15" s="82" t="s">
        <v>8</v>
      </c>
      <c r="B15" s="851" t="s">
        <v>30</v>
      </c>
      <c r="C15" s="850" t="s">
        <v>31</v>
      </c>
      <c r="D15" s="850" t="s">
        <v>32</v>
      </c>
      <c r="E15" s="850" t="s">
        <v>33</v>
      </c>
      <c r="F15" s="850" t="s">
        <v>34</v>
      </c>
      <c r="G15" s="850" t="s">
        <v>35</v>
      </c>
      <c r="H15" s="850" t="s">
        <v>36</v>
      </c>
      <c r="I15" s="82" t="s">
        <v>8</v>
      </c>
    </row>
    <row r="16" spans="1:9" ht="16.5" thickTop="1" thickBot="1">
      <c r="A16" s="82" t="s">
        <v>8</v>
      </c>
      <c r="B16" s="82" t="s">
        <v>8</v>
      </c>
      <c r="C16" s="82" t="s">
        <v>8</v>
      </c>
      <c r="D16" s="82" t="s">
        <v>8</v>
      </c>
      <c r="E16" s="82" t="s">
        <v>8</v>
      </c>
      <c r="F16" s="82" t="s">
        <v>8</v>
      </c>
      <c r="G16" s="82" t="s">
        <v>8</v>
      </c>
      <c r="H16" s="82" t="s">
        <v>8</v>
      </c>
      <c r="I16" s="82" t="s">
        <v>8</v>
      </c>
    </row>
    <row r="17" spans="1:9" ht="15.75" thickTop="1">
      <c r="A17" s="82" t="s">
        <v>8</v>
      </c>
      <c r="B17" s="867" t="s">
        <v>8</v>
      </c>
      <c r="C17" s="867" t="s">
        <v>8</v>
      </c>
      <c r="D17" s="872" t="s">
        <v>200</v>
      </c>
      <c r="E17" s="867" t="s">
        <v>8</v>
      </c>
      <c r="F17" s="867" t="s">
        <v>8</v>
      </c>
      <c r="G17" s="867" t="s">
        <v>8</v>
      </c>
      <c r="H17" s="854" t="s">
        <v>8</v>
      </c>
      <c r="I17" s="82" t="s">
        <v>8</v>
      </c>
    </row>
    <row r="18" spans="1:9">
      <c r="A18" s="82" t="s">
        <v>8</v>
      </c>
      <c r="B18" s="868" t="s">
        <v>8</v>
      </c>
      <c r="C18" s="870" t="s">
        <v>8</v>
      </c>
      <c r="D18" s="870" t="s">
        <v>8</v>
      </c>
      <c r="E18" s="874" t="s">
        <v>8</v>
      </c>
      <c r="F18" s="870" t="s">
        <v>8</v>
      </c>
      <c r="G18" s="876" t="s">
        <v>8</v>
      </c>
      <c r="H18" s="862" t="s">
        <v>8</v>
      </c>
      <c r="I18" s="82" t="s">
        <v>8</v>
      </c>
    </row>
    <row r="19" spans="1:9">
      <c r="A19" s="82" t="s">
        <v>8</v>
      </c>
      <c r="B19" s="868" t="s">
        <v>8</v>
      </c>
      <c r="C19" s="870" t="s">
        <v>8</v>
      </c>
      <c r="D19" s="870" t="s">
        <v>8</v>
      </c>
      <c r="E19" s="874" t="s">
        <v>8</v>
      </c>
      <c r="F19" s="870" t="s">
        <v>8</v>
      </c>
      <c r="G19" s="876" t="s">
        <v>8</v>
      </c>
      <c r="H19" s="862" t="s">
        <v>8</v>
      </c>
      <c r="I19" s="82" t="s">
        <v>8</v>
      </c>
    </row>
    <row r="20" spans="1:9" ht="15.75" thickBot="1">
      <c r="A20" s="82" t="s">
        <v>8</v>
      </c>
      <c r="B20" s="869" t="s">
        <v>8</v>
      </c>
      <c r="C20" s="871" t="s">
        <v>8</v>
      </c>
      <c r="D20" s="873" t="s">
        <v>51</v>
      </c>
      <c r="E20" s="875">
        <f>SUM($E$18:$E$19)</f>
        <v>0</v>
      </c>
      <c r="F20" s="871" t="s">
        <v>8</v>
      </c>
      <c r="G20" s="877" t="s">
        <v>8</v>
      </c>
      <c r="H20" s="857" t="s">
        <v>8</v>
      </c>
      <c r="I20" s="82" t="s">
        <v>8</v>
      </c>
    </row>
    <row r="21" spans="1:9" ht="15.75" thickTop="1">
      <c r="A21" s="82" t="s">
        <v>8</v>
      </c>
      <c r="B21" s="859" t="s">
        <v>8</v>
      </c>
      <c r="C21" s="82" t="s">
        <v>8</v>
      </c>
      <c r="D21" s="82" t="s">
        <v>8</v>
      </c>
      <c r="E21" s="83" t="s">
        <v>8</v>
      </c>
      <c r="F21" s="82" t="s">
        <v>8</v>
      </c>
      <c r="G21" s="858" t="s">
        <v>8</v>
      </c>
      <c r="H21" s="82" t="s">
        <v>8</v>
      </c>
      <c r="I21" s="82" t="s">
        <v>8</v>
      </c>
    </row>
    <row r="22" spans="1:9" ht="15.75" thickBot="1">
      <c r="A22" s="82" t="s">
        <v>8</v>
      </c>
      <c r="B22" s="859" t="s">
        <v>8</v>
      </c>
      <c r="C22" s="82" t="s">
        <v>8</v>
      </c>
      <c r="D22" s="82" t="s">
        <v>8</v>
      </c>
      <c r="E22" s="83" t="s">
        <v>8</v>
      </c>
      <c r="F22" s="82" t="s">
        <v>8</v>
      </c>
      <c r="G22" s="858" t="s">
        <v>8</v>
      </c>
      <c r="H22" s="82" t="s">
        <v>8</v>
      </c>
      <c r="I22" s="82" t="s">
        <v>8</v>
      </c>
    </row>
    <row r="23" spans="1:9" ht="15.75" thickTop="1">
      <c r="A23" s="82" t="s">
        <v>8</v>
      </c>
      <c r="B23" s="881" t="s">
        <v>8</v>
      </c>
      <c r="C23" s="867" t="s">
        <v>8</v>
      </c>
      <c r="D23" s="872" t="s">
        <v>201</v>
      </c>
      <c r="E23" s="882" t="s">
        <v>8</v>
      </c>
      <c r="F23" s="867" t="s">
        <v>8</v>
      </c>
      <c r="G23" s="883" t="s">
        <v>8</v>
      </c>
      <c r="H23" s="854" t="s">
        <v>8</v>
      </c>
      <c r="I23" s="82" t="s">
        <v>8</v>
      </c>
    </row>
    <row r="24" spans="1:9">
      <c r="A24" s="82" t="s">
        <v>8</v>
      </c>
      <c r="B24" s="868" t="s">
        <v>8</v>
      </c>
      <c r="C24" s="870" t="s">
        <v>8</v>
      </c>
      <c r="D24" s="870" t="s">
        <v>8</v>
      </c>
      <c r="E24" s="874" t="s">
        <v>8</v>
      </c>
      <c r="F24" s="870" t="s">
        <v>8</v>
      </c>
      <c r="G24" s="876" t="s">
        <v>8</v>
      </c>
      <c r="H24" s="862" t="s">
        <v>8</v>
      </c>
      <c r="I24" s="82" t="s">
        <v>8</v>
      </c>
    </row>
    <row r="25" spans="1:9">
      <c r="A25" s="82" t="s">
        <v>8</v>
      </c>
      <c r="B25" s="868" t="s">
        <v>8</v>
      </c>
      <c r="C25" s="870" t="s">
        <v>8</v>
      </c>
      <c r="D25" s="870" t="s">
        <v>8</v>
      </c>
      <c r="E25" s="874" t="s">
        <v>8</v>
      </c>
      <c r="F25" s="870" t="s">
        <v>8</v>
      </c>
      <c r="G25" s="876" t="s">
        <v>8</v>
      </c>
      <c r="H25" s="862" t="s">
        <v>8</v>
      </c>
      <c r="I25" s="82" t="s">
        <v>8</v>
      </c>
    </row>
    <row r="26" spans="1:9" ht="15.75" thickBot="1">
      <c r="A26" s="82" t="s">
        <v>8</v>
      </c>
      <c r="B26" s="869" t="s">
        <v>8</v>
      </c>
      <c r="C26" s="871" t="s">
        <v>8</v>
      </c>
      <c r="D26" s="873" t="s">
        <v>51</v>
      </c>
      <c r="E26" s="875">
        <f>SUM($E$24:$E$25)</f>
        <v>0</v>
      </c>
      <c r="F26" s="871" t="s">
        <v>8</v>
      </c>
      <c r="G26" s="877" t="s">
        <v>8</v>
      </c>
      <c r="H26" s="857" t="s">
        <v>8</v>
      </c>
      <c r="I26" s="82" t="s">
        <v>8</v>
      </c>
    </row>
    <row r="27" spans="1:9" ht="15.75" thickTop="1">
      <c r="A27" s="82" t="s">
        <v>8</v>
      </c>
      <c r="B27" s="859" t="s">
        <v>8</v>
      </c>
      <c r="C27" s="82" t="s">
        <v>8</v>
      </c>
      <c r="D27" s="82" t="s">
        <v>8</v>
      </c>
      <c r="E27" s="83" t="s">
        <v>8</v>
      </c>
      <c r="F27" s="82" t="s">
        <v>8</v>
      </c>
      <c r="G27" s="858" t="s">
        <v>8</v>
      </c>
      <c r="H27" s="82" t="s">
        <v>8</v>
      </c>
      <c r="I27" s="82" t="s">
        <v>8</v>
      </c>
    </row>
    <row r="28" spans="1:9" ht="15.75" thickBot="1">
      <c r="A28" s="82" t="s">
        <v>8</v>
      </c>
      <c r="B28" s="859" t="s">
        <v>8</v>
      </c>
      <c r="C28" s="82" t="s">
        <v>8</v>
      </c>
      <c r="D28" s="82" t="s">
        <v>8</v>
      </c>
      <c r="E28" s="83" t="s">
        <v>8</v>
      </c>
      <c r="F28" s="82" t="s">
        <v>8</v>
      </c>
      <c r="G28" s="858" t="s">
        <v>8</v>
      </c>
      <c r="H28" s="82" t="s">
        <v>8</v>
      </c>
      <c r="I28" s="82" t="s">
        <v>8</v>
      </c>
    </row>
    <row r="29" spans="1:9" ht="15.75" thickTop="1">
      <c r="A29" s="82" t="s">
        <v>8</v>
      </c>
      <c r="B29" s="881" t="s">
        <v>8</v>
      </c>
      <c r="C29" s="867" t="s">
        <v>8</v>
      </c>
      <c r="D29" s="872" t="s">
        <v>202</v>
      </c>
      <c r="E29" s="882" t="s">
        <v>8</v>
      </c>
      <c r="F29" s="867" t="s">
        <v>8</v>
      </c>
      <c r="G29" s="883" t="s">
        <v>8</v>
      </c>
      <c r="H29" s="854" t="s">
        <v>8</v>
      </c>
      <c r="I29" s="82" t="s">
        <v>8</v>
      </c>
    </row>
    <row r="30" spans="1:9">
      <c r="A30" s="82" t="s">
        <v>8</v>
      </c>
      <c r="B30" s="868" t="s">
        <v>8</v>
      </c>
      <c r="C30" s="870" t="s">
        <v>8</v>
      </c>
      <c r="D30" s="870" t="s">
        <v>8</v>
      </c>
      <c r="E30" s="874" t="s">
        <v>8</v>
      </c>
      <c r="F30" s="870" t="s">
        <v>8</v>
      </c>
      <c r="G30" s="876" t="s">
        <v>8</v>
      </c>
      <c r="H30" s="862" t="s">
        <v>8</v>
      </c>
      <c r="I30" s="82" t="s">
        <v>8</v>
      </c>
    </row>
    <row r="31" spans="1:9">
      <c r="A31" s="82" t="s">
        <v>8</v>
      </c>
      <c r="B31" s="868" t="s">
        <v>8</v>
      </c>
      <c r="C31" s="870" t="s">
        <v>8</v>
      </c>
      <c r="D31" s="870" t="s">
        <v>8</v>
      </c>
      <c r="E31" s="874" t="s">
        <v>8</v>
      </c>
      <c r="F31" s="870" t="s">
        <v>8</v>
      </c>
      <c r="G31" s="876" t="s">
        <v>8</v>
      </c>
      <c r="H31" s="862" t="s">
        <v>8</v>
      </c>
      <c r="I31" s="82" t="s">
        <v>8</v>
      </c>
    </row>
    <row r="32" spans="1:9" ht="15.75" thickBot="1">
      <c r="A32" s="82" t="s">
        <v>8</v>
      </c>
      <c r="B32" s="869" t="s">
        <v>8</v>
      </c>
      <c r="C32" s="871" t="s">
        <v>8</v>
      </c>
      <c r="D32" s="873" t="s">
        <v>51</v>
      </c>
      <c r="E32" s="875">
        <f>SUM($E$30:$E$31)</f>
        <v>0</v>
      </c>
      <c r="F32" s="871" t="s">
        <v>8</v>
      </c>
      <c r="G32" s="877" t="s">
        <v>8</v>
      </c>
      <c r="H32" s="857" t="s">
        <v>8</v>
      </c>
      <c r="I32" s="82" t="s">
        <v>8</v>
      </c>
    </row>
    <row r="33" spans="1:9" ht="15.75" thickTop="1">
      <c r="A33" s="82" t="s">
        <v>8</v>
      </c>
      <c r="B33" s="859" t="s">
        <v>8</v>
      </c>
      <c r="C33" s="82" t="s">
        <v>8</v>
      </c>
      <c r="D33" s="82" t="s">
        <v>8</v>
      </c>
      <c r="E33" s="83" t="s">
        <v>8</v>
      </c>
      <c r="F33" s="82" t="s">
        <v>8</v>
      </c>
      <c r="G33" s="858" t="s">
        <v>8</v>
      </c>
      <c r="H33" s="82" t="s">
        <v>8</v>
      </c>
      <c r="I33" s="82" t="s">
        <v>8</v>
      </c>
    </row>
    <row r="34" spans="1:9" ht="15.75" thickBot="1">
      <c r="A34" s="82" t="s">
        <v>8</v>
      </c>
      <c r="B34" s="859" t="s">
        <v>8</v>
      </c>
      <c r="C34" s="82" t="s">
        <v>8</v>
      </c>
      <c r="D34" s="82" t="s">
        <v>8</v>
      </c>
      <c r="E34" s="83" t="s">
        <v>8</v>
      </c>
      <c r="F34" s="82" t="s">
        <v>8</v>
      </c>
      <c r="G34" s="858" t="s">
        <v>8</v>
      </c>
      <c r="H34" s="82" t="s">
        <v>8</v>
      </c>
      <c r="I34" s="82" t="s">
        <v>8</v>
      </c>
    </row>
    <row r="35" spans="1:9" ht="15.75" thickTop="1">
      <c r="A35" s="82" t="s">
        <v>8</v>
      </c>
      <c r="B35" s="881" t="s">
        <v>8</v>
      </c>
      <c r="C35" s="867" t="s">
        <v>8</v>
      </c>
      <c r="D35" s="872" t="s">
        <v>203</v>
      </c>
      <c r="E35" s="882" t="s">
        <v>8</v>
      </c>
      <c r="F35" s="867" t="s">
        <v>8</v>
      </c>
      <c r="G35" s="883" t="s">
        <v>8</v>
      </c>
      <c r="H35" s="854" t="s">
        <v>8</v>
      </c>
      <c r="I35" s="82" t="s">
        <v>8</v>
      </c>
    </row>
    <row r="36" spans="1:9">
      <c r="A36" s="82" t="s">
        <v>8</v>
      </c>
      <c r="B36" s="868" t="s">
        <v>8</v>
      </c>
      <c r="C36" s="870" t="s">
        <v>8</v>
      </c>
      <c r="D36" s="870" t="s">
        <v>8</v>
      </c>
      <c r="E36" s="874" t="s">
        <v>8</v>
      </c>
      <c r="F36" s="870" t="s">
        <v>8</v>
      </c>
      <c r="G36" s="876" t="s">
        <v>8</v>
      </c>
      <c r="H36" s="862" t="s">
        <v>8</v>
      </c>
      <c r="I36" s="82" t="s">
        <v>8</v>
      </c>
    </row>
    <row r="37" spans="1:9">
      <c r="A37" s="82" t="s">
        <v>8</v>
      </c>
      <c r="B37" s="868" t="s">
        <v>8</v>
      </c>
      <c r="C37" s="870" t="s">
        <v>8</v>
      </c>
      <c r="D37" s="870" t="s">
        <v>8</v>
      </c>
      <c r="E37" s="874" t="s">
        <v>8</v>
      </c>
      <c r="F37" s="870" t="s">
        <v>8</v>
      </c>
      <c r="G37" s="876" t="s">
        <v>8</v>
      </c>
      <c r="H37" s="862" t="s">
        <v>8</v>
      </c>
      <c r="I37" s="82" t="s">
        <v>8</v>
      </c>
    </row>
    <row r="38" spans="1:9" ht="15.75" thickBot="1">
      <c r="A38" s="82" t="s">
        <v>8</v>
      </c>
      <c r="B38" s="869" t="s">
        <v>8</v>
      </c>
      <c r="C38" s="871" t="s">
        <v>8</v>
      </c>
      <c r="D38" s="873" t="s">
        <v>51</v>
      </c>
      <c r="E38" s="875">
        <f>SUM($E$36:$E$37)</f>
        <v>0</v>
      </c>
      <c r="F38" s="871" t="s">
        <v>8</v>
      </c>
      <c r="G38" s="877" t="s">
        <v>8</v>
      </c>
      <c r="H38" s="857" t="s">
        <v>8</v>
      </c>
      <c r="I38" s="82" t="s">
        <v>8</v>
      </c>
    </row>
    <row r="39" spans="1:9" ht="16.5" thickTop="1" thickBot="1">
      <c r="A39" s="82" t="s">
        <v>8</v>
      </c>
      <c r="B39" s="859" t="s">
        <v>8</v>
      </c>
      <c r="C39" s="82" t="s">
        <v>8</v>
      </c>
      <c r="D39" s="82" t="s">
        <v>8</v>
      </c>
      <c r="E39" s="83" t="s">
        <v>8</v>
      </c>
      <c r="F39" s="82" t="s">
        <v>8</v>
      </c>
      <c r="G39" s="858" t="s">
        <v>8</v>
      </c>
      <c r="H39" s="82" t="s">
        <v>8</v>
      </c>
      <c r="I39" s="82" t="s">
        <v>8</v>
      </c>
    </row>
    <row r="40" spans="1:9" ht="15.75" thickTop="1">
      <c r="A40" s="82" t="s">
        <v>8</v>
      </c>
      <c r="B40" s="878" t="s">
        <v>8</v>
      </c>
      <c r="C40" s="853" t="s">
        <v>8</v>
      </c>
      <c r="D40" s="853" t="s">
        <v>8</v>
      </c>
      <c r="E40" s="879" t="s">
        <v>8</v>
      </c>
      <c r="F40" s="853" t="s">
        <v>8</v>
      </c>
      <c r="G40" s="880" t="s">
        <v>8</v>
      </c>
      <c r="H40" s="854" t="s">
        <v>8</v>
      </c>
      <c r="I40" s="82" t="s">
        <v>8</v>
      </c>
    </row>
    <row r="41" spans="1:9">
      <c r="A41" s="82" t="s">
        <v>8</v>
      </c>
      <c r="B41" s="861" t="s">
        <v>8</v>
      </c>
      <c r="C41" s="2042" t="s">
        <v>8</v>
      </c>
      <c r="D41" s="2044" t="s">
        <v>114</v>
      </c>
      <c r="E41" s="2043">
        <f>ABS(E13+$E$20-$E$38+$E$26-$E$32)</f>
        <v>0</v>
      </c>
      <c r="F41" s="2042" t="s">
        <v>8</v>
      </c>
      <c r="G41" s="2046" t="s">
        <v>8</v>
      </c>
      <c r="H41" s="862" t="s">
        <v>8</v>
      </c>
      <c r="I41" s="82" t="s">
        <v>8</v>
      </c>
    </row>
    <row r="42" spans="1:9">
      <c r="A42" s="82" t="s">
        <v>8</v>
      </c>
      <c r="B42" s="861" t="s">
        <v>8</v>
      </c>
      <c r="C42" s="2042" t="s">
        <v>8</v>
      </c>
      <c r="D42" s="2044" t="s">
        <v>115</v>
      </c>
      <c r="E42" s="2043">
        <v>0</v>
      </c>
      <c r="F42" s="2042" t="s">
        <v>8</v>
      </c>
      <c r="G42" s="2046" t="s">
        <v>8</v>
      </c>
      <c r="H42" s="862" t="s">
        <v>8</v>
      </c>
      <c r="I42" s="82" t="s">
        <v>116</v>
      </c>
    </row>
    <row r="43" spans="1:9" ht="15.75" thickBot="1">
      <c r="A43" s="82" t="s">
        <v>8</v>
      </c>
      <c r="B43" s="863" t="s">
        <v>8</v>
      </c>
      <c r="C43" s="856" t="s">
        <v>8</v>
      </c>
      <c r="D43" s="864" t="s">
        <v>117</v>
      </c>
      <c r="E43" s="865">
        <f>$E$42-$E$41</f>
        <v>0</v>
      </c>
      <c r="F43" s="856" t="s">
        <v>8</v>
      </c>
      <c r="G43" s="866" t="s">
        <v>8</v>
      </c>
      <c r="H43" s="857" t="s">
        <v>8</v>
      </c>
      <c r="I43" s="82" t="s">
        <v>8</v>
      </c>
    </row>
    <row r="44" spans="1:9" ht="16.5" thickTop="1" thickBot="1">
      <c r="A44" s="82" t="s">
        <v>8</v>
      </c>
      <c r="B44" s="859" t="s">
        <v>8</v>
      </c>
      <c r="C44" s="82" t="s">
        <v>8</v>
      </c>
      <c r="D44" s="82" t="s">
        <v>8</v>
      </c>
      <c r="E44" s="83" t="s">
        <v>8</v>
      </c>
      <c r="F44" s="82" t="s">
        <v>8</v>
      </c>
      <c r="G44" s="858" t="s">
        <v>8</v>
      </c>
      <c r="H44" s="82" t="s">
        <v>8</v>
      </c>
      <c r="I44" s="82" t="s">
        <v>8</v>
      </c>
    </row>
    <row r="45" spans="1:9" ht="15.75" thickTop="1">
      <c r="A45" s="82" t="s">
        <v>8</v>
      </c>
      <c r="B45" s="878" t="s">
        <v>8</v>
      </c>
      <c r="C45" s="853" t="s">
        <v>8</v>
      </c>
      <c r="D45" s="860" t="s">
        <v>118</v>
      </c>
      <c r="E45" s="884" t="s">
        <v>119</v>
      </c>
      <c r="F45" s="860" t="s">
        <v>120</v>
      </c>
      <c r="G45" s="880">
        <v>45981</v>
      </c>
      <c r="H45" s="854" t="s">
        <v>8</v>
      </c>
      <c r="I45" s="82" t="s">
        <v>8</v>
      </c>
    </row>
    <row r="46" spans="1:9">
      <c r="A46" s="82" t="s">
        <v>8</v>
      </c>
      <c r="B46" s="861" t="s">
        <v>8</v>
      </c>
      <c r="C46" s="2042" t="s">
        <v>8</v>
      </c>
      <c r="D46" s="2042" t="s">
        <v>8</v>
      </c>
      <c r="E46" s="2045" t="s">
        <v>8</v>
      </c>
      <c r="F46" s="2042" t="s">
        <v>8</v>
      </c>
      <c r="G46" s="2046" t="s">
        <v>8</v>
      </c>
      <c r="H46" s="862" t="s">
        <v>8</v>
      </c>
      <c r="I46" s="82" t="s">
        <v>8</v>
      </c>
    </row>
    <row r="47" spans="1:9">
      <c r="A47" s="82" t="s">
        <v>8</v>
      </c>
      <c r="B47" s="861" t="s">
        <v>8</v>
      </c>
      <c r="C47" s="2042" t="s">
        <v>8</v>
      </c>
      <c r="D47" s="2042" t="s">
        <v>8</v>
      </c>
      <c r="E47" s="2045" t="s">
        <v>8</v>
      </c>
      <c r="F47" s="2042" t="s">
        <v>8</v>
      </c>
      <c r="G47" s="2046" t="s">
        <v>8</v>
      </c>
      <c r="H47" s="862" t="s">
        <v>8</v>
      </c>
      <c r="I47" s="82" t="s">
        <v>8</v>
      </c>
    </row>
    <row r="48" spans="1:9">
      <c r="A48" s="82" t="s">
        <v>8</v>
      </c>
      <c r="B48" s="861" t="s">
        <v>8</v>
      </c>
      <c r="C48" s="2042" t="s">
        <v>8</v>
      </c>
      <c r="D48" s="2044" t="s">
        <v>121</v>
      </c>
      <c r="E48" s="2043" t="s">
        <v>8</v>
      </c>
      <c r="F48" s="2044" t="s">
        <v>120</v>
      </c>
      <c r="G48" s="2046" t="s">
        <v>8</v>
      </c>
      <c r="H48" s="862" t="s">
        <v>8</v>
      </c>
      <c r="I48" s="82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6.5703125" bestFit="1" customWidth="1"/>
    <col min="5" max="5" width="24.5703125" bestFit="1" customWidth="1"/>
    <col min="6" max="6" width="16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196</v>
      </c>
    </row>
    <row r="2" spans="1:9">
      <c r="A2" s="85" t="s">
        <v>8</v>
      </c>
      <c r="B2" s="85" t="s">
        <v>8</v>
      </c>
      <c r="C2" s="85" t="s">
        <v>8</v>
      </c>
      <c r="D2" s="85" t="s">
        <v>8</v>
      </c>
      <c r="E2" s="85" t="s">
        <v>8</v>
      </c>
      <c r="F2" s="85" t="s">
        <v>8</v>
      </c>
      <c r="G2" s="85" t="s">
        <v>8</v>
      </c>
      <c r="H2" s="85" t="s">
        <v>8</v>
      </c>
      <c r="I2" s="85" t="s">
        <v>8</v>
      </c>
    </row>
    <row r="3" spans="1:9" ht="15.75" thickBot="1">
      <c r="A3" s="85" t="s">
        <v>8</v>
      </c>
      <c r="B3" s="85" t="s">
        <v>8</v>
      </c>
      <c r="C3" s="85" t="s">
        <v>8</v>
      </c>
      <c r="D3" s="85" t="s">
        <v>8</v>
      </c>
      <c r="E3" s="85" t="s">
        <v>8</v>
      </c>
      <c r="F3" s="85" t="s">
        <v>8</v>
      </c>
      <c r="G3" s="85" t="s">
        <v>8</v>
      </c>
      <c r="H3" s="85" t="s">
        <v>8</v>
      </c>
      <c r="I3" s="85" t="s">
        <v>8</v>
      </c>
    </row>
    <row r="4" spans="1:9" ht="16.5" thickTop="1" thickBot="1">
      <c r="A4" s="85" t="s">
        <v>8</v>
      </c>
      <c r="B4" s="85" t="s">
        <v>14</v>
      </c>
      <c r="C4" s="85" t="s">
        <v>8</v>
      </c>
      <c r="D4" s="886" t="s">
        <v>15</v>
      </c>
      <c r="E4" s="85" t="s">
        <v>16</v>
      </c>
      <c r="F4" s="886" t="s">
        <v>197</v>
      </c>
      <c r="G4" s="85" t="s">
        <v>8</v>
      </c>
      <c r="H4" s="85" t="s">
        <v>8</v>
      </c>
      <c r="I4" s="85" t="s">
        <v>8</v>
      </c>
    </row>
    <row r="5" spans="1:9" ht="16.5" thickTop="1" thickBot="1">
      <c r="A5" s="85" t="s">
        <v>8</v>
      </c>
      <c r="B5" s="85" t="s">
        <v>8</v>
      </c>
      <c r="C5" s="85" t="s">
        <v>8</v>
      </c>
      <c r="D5" s="85" t="s">
        <v>8</v>
      </c>
      <c r="E5" s="85" t="s">
        <v>8</v>
      </c>
      <c r="F5" s="85" t="s">
        <v>8</v>
      </c>
      <c r="G5" s="85" t="s">
        <v>8</v>
      </c>
      <c r="H5" s="85" t="s">
        <v>8</v>
      </c>
      <c r="I5" s="85" t="s">
        <v>8</v>
      </c>
    </row>
    <row r="6" spans="1:9" ht="16.5" thickTop="1" thickBot="1">
      <c r="A6" s="85" t="s">
        <v>8</v>
      </c>
      <c r="B6" s="85" t="s">
        <v>18</v>
      </c>
      <c r="C6" s="85" t="s">
        <v>8</v>
      </c>
      <c r="D6" s="886" t="s">
        <v>19</v>
      </c>
      <c r="E6" s="85" t="s">
        <v>20</v>
      </c>
      <c r="F6" s="886" t="s">
        <v>204</v>
      </c>
      <c r="G6" s="85" t="s">
        <v>8</v>
      </c>
      <c r="H6" s="85" t="s">
        <v>8</v>
      </c>
      <c r="I6" s="85" t="s">
        <v>8</v>
      </c>
    </row>
    <row r="7" spans="1:9" ht="16.5" thickTop="1" thickBot="1">
      <c r="A7" s="85" t="s">
        <v>8</v>
      </c>
      <c r="B7" s="85" t="s">
        <v>8</v>
      </c>
      <c r="C7" s="85" t="s">
        <v>8</v>
      </c>
      <c r="D7" s="85" t="s">
        <v>8</v>
      </c>
      <c r="E7" s="85" t="s">
        <v>8</v>
      </c>
      <c r="F7" s="85" t="s">
        <v>8</v>
      </c>
      <c r="G7" s="85" t="s">
        <v>8</v>
      </c>
      <c r="H7" s="85" t="s">
        <v>8</v>
      </c>
      <c r="I7" s="85" t="s">
        <v>8</v>
      </c>
    </row>
    <row r="8" spans="1:9" ht="16.5" thickTop="1" thickBot="1">
      <c r="A8" s="85" t="s">
        <v>8</v>
      </c>
      <c r="B8" s="85" t="s">
        <v>22</v>
      </c>
      <c r="C8" s="85" t="s">
        <v>8</v>
      </c>
      <c r="D8" s="886" t="s">
        <v>11</v>
      </c>
      <c r="E8" s="85" t="s">
        <v>23</v>
      </c>
      <c r="F8" s="886" t="s">
        <v>205</v>
      </c>
      <c r="G8" s="85" t="s">
        <v>8</v>
      </c>
      <c r="H8" s="85" t="s">
        <v>8</v>
      </c>
      <c r="I8" s="85" t="s">
        <v>8</v>
      </c>
    </row>
    <row r="9" spans="1:9" ht="16.5" thickTop="1" thickBot="1">
      <c r="A9" s="85" t="s">
        <v>8</v>
      </c>
      <c r="B9" s="85" t="s">
        <v>8</v>
      </c>
      <c r="C9" s="85" t="s">
        <v>8</v>
      </c>
      <c r="D9" s="85" t="s">
        <v>8</v>
      </c>
      <c r="E9" s="85" t="s">
        <v>8</v>
      </c>
      <c r="F9" s="85" t="s">
        <v>8</v>
      </c>
      <c r="G9" s="85" t="s">
        <v>8</v>
      </c>
      <c r="H9" s="85" t="s">
        <v>8</v>
      </c>
      <c r="I9" s="85" t="s">
        <v>8</v>
      </c>
    </row>
    <row r="10" spans="1:9" ht="16.5" thickTop="1" thickBot="1">
      <c r="A10" s="85" t="s">
        <v>8</v>
      </c>
      <c r="B10" s="85" t="s">
        <v>25</v>
      </c>
      <c r="C10" s="85" t="s">
        <v>8</v>
      </c>
      <c r="D10" s="886" t="s">
        <v>26</v>
      </c>
      <c r="E10" s="85" t="s">
        <v>8</v>
      </c>
      <c r="F10" s="85" t="s">
        <v>8</v>
      </c>
      <c r="G10" s="85" t="s">
        <v>8</v>
      </c>
      <c r="H10" s="85" t="s">
        <v>8</v>
      </c>
      <c r="I10" s="85" t="s">
        <v>8</v>
      </c>
    </row>
    <row r="11" spans="1:9" ht="16.5" thickTop="1" thickBot="1">
      <c r="A11" s="85" t="s">
        <v>8</v>
      </c>
      <c r="B11" s="85" t="s">
        <v>8</v>
      </c>
      <c r="C11" s="85" t="s">
        <v>8</v>
      </c>
      <c r="D11" s="85" t="s">
        <v>8</v>
      </c>
      <c r="E11" s="85" t="s">
        <v>8</v>
      </c>
      <c r="F11" s="85" t="s">
        <v>8</v>
      </c>
      <c r="G11" s="85" t="s">
        <v>8</v>
      </c>
      <c r="H11" s="85" t="s">
        <v>8</v>
      </c>
      <c r="I11" s="85" t="s">
        <v>8</v>
      </c>
    </row>
    <row r="12" spans="1:9" ht="16.5" thickTop="1" thickBot="1">
      <c r="A12" s="85" t="s">
        <v>8</v>
      </c>
      <c r="B12" s="887" t="s">
        <v>8</v>
      </c>
      <c r="C12" s="888" t="s">
        <v>8</v>
      </c>
      <c r="D12" s="888" t="s">
        <v>8</v>
      </c>
      <c r="E12" s="888" t="s">
        <v>8</v>
      </c>
      <c r="F12" s="888" t="s">
        <v>8</v>
      </c>
      <c r="G12" s="888" t="s">
        <v>8</v>
      </c>
      <c r="H12" s="889" t="s">
        <v>8</v>
      </c>
      <c r="I12" s="85" t="s">
        <v>8</v>
      </c>
    </row>
    <row r="13" spans="1:9" ht="16.5" thickTop="1" thickBot="1">
      <c r="A13" s="85" t="s">
        <v>8</v>
      </c>
      <c r="B13" s="890" t="s">
        <v>8</v>
      </c>
      <c r="C13" s="885" t="s">
        <v>11</v>
      </c>
      <c r="D13" s="891" t="s">
        <v>28</v>
      </c>
      <c r="E13" s="900">
        <v>2313</v>
      </c>
      <c r="F13" s="891" t="s">
        <v>8</v>
      </c>
      <c r="G13" s="891" t="s">
        <v>8</v>
      </c>
      <c r="H13" s="892" t="s">
        <v>8</v>
      </c>
      <c r="I13" s="85" t="s">
        <v>29</v>
      </c>
    </row>
    <row r="14" spans="1:9" ht="16.5" thickTop="1" thickBot="1">
      <c r="A14" s="85" t="s">
        <v>8</v>
      </c>
      <c r="B14" s="85" t="s">
        <v>8</v>
      </c>
      <c r="C14" s="85" t="s">
        <v>8</v>
      </c>
      <c r="D14" s="85" t="s">
        <v>8</v>
      </c>
      <c r="E14" s="85" t="s">
        <v>8</v>
      </c>
      <c r="F14" s="85" t="s">
        <v>8</v>
      </c>
      <c r="G14" s="85" t="s">
        <v>8</v>
      </c>
      <c r="H14" s="85" t="s">
        <v>8</v>
      </c>
      <c r="I14" s="85" t="s">
        <v>8</v>
      </c>
    </row>
    <row r="15" spans="1:9" ht="16.5" thickTop="1" thickBot="1">
      <c r="A15" s="85" t="s">
        <v>8</v>
      </c>
      <c r="B15" s="886" t="s">
        <v>30</v>
      </c>
      <c r="C15" s="885" t="s">
        <v>31</v>
      </c>
      <c r="D15" s="885" t="s">
        <v>32</v>
      </c>
      <c r="E15" s="885" t="s">
        <v>33</v>
      </c>
      <c r="F15" s="885" t="s">
        <v>34</v>
      </c>
      <c r="G15" s="885" t="s">
        <v>35</v>
      </c>
      <c r="H15" s="885" t="s">
        <v>36</v>
      </c>
      <c r="I15" s="85" t="s">
        <v>8</v>
      </c>
    </row>
    <row r="16" spans="1:9" ht="16.5" thickTop="1" thickBot="1">
      <c r="A16" s="85" t="s">
        <v>8</v>
      </c>
      <c r="B16" s="85" t="s">
        <v>8</v>
      </c>
      <c r="C16" s="85" t="s">
        <v>8</v>
      </c>
      <c r="D16" s="85" t="s">
        <v>8</v>
      </c>
      <c r="E16" s="85" t="s">
        <v>8</v>
      </c>
      <c r="F16" s="85" t="s">
        <v>8</v>
      </c>
      <c r="G16" s="85" t="s">
        <v>8</v>
      </c>
      <c r="H16" s="85" t="s">
        <v>8</v>
      </c>
      <c r="I16" s="85" t="s">
        <v>8</v>
      </c>
    </row>
    <row r="17" spans="1:9" ht="15.75" thickTop="1">
      <c r="A17" s="85" t="s">
        <v>8</v>
      </c>
      <c r="B17" s="902" t="s">
        <v>8</v>
      </c>
      <c r="C17" s="902" t="s">
        <v>8</v>
      </c>
      <c r="D17" s="907" t="s">
        <v>200</v>
      </c>
      <c r="E17" s="902" t="s">
        <v>8</v>
      </c>
      <c r="F17" s="902" t="s">
        <v>8</v>
      </c>
      <c r="G17" s="902" t="s">
        <v>8</v>
      </c>
      <c r="H17" s="889" t="s">
        <v>8</v>
      </c>
      <c r="I17" s="85" t="s">
        <v>8</v>
      </c>
    </row>
    <row r="18" spans="1:9">
      <c r="A18" s="85" t="s">
        <v>8</v>
      </c>
      <c r="B18" s="903" t="s">
        <v>8</v>
      </c>
      <c r="C18" s="905" t="s">
        <v>8</v>
      </c>
      <c r="D18" s="905" t="s">
        <v>8</v>
      </c>
      <c r="E18" s="909" t="s">
        <v>8</v>
      </c>
      <c r="F18" s="905" t="s">
        <v>8</v>
      </c>
      <c r="G18" s="911" t="s">
        <v>8</v>
      </c>
      <c r="H18" s="897" t="s">
        <v>8</v>
      </c>
      <c r="I18" s="85" t="s">
        <v>8</v>
      </c>
    </row>
    <row r="19" spans="1:9">
      <c r="A19" s="85" t="s">
        <v>8</v>
      </c>
      <c r="B19" s="903" t="s">
        <v>8</v>
      </c>
      <c r="C19" s="905" t="s">
        <v>8</v>
      </c>
      <c r="D19" s="905" t="s">
        <v>8</v>
      </c>
      <c r="E19" s="909" t="s">
        <v>8</v>
      </c>
      <c r="F19" s="905" t="s">
        <v>8</v>
      </c>
      <c r="G19" s="911" t="s">
        <v>8</v>
      </c>
      <c r="H19" s="897" t="s">
        <v>8</v>
      </c>
      <c r="I19" s="85" t="s">
        <v>8</v>
      </c>
    </row>
    <row r="20" spans="1:9" ht="15.75" thickBot="1">
      <c r="A20" s="85" t="s">
        <v>8</v>
      </c>
      <c r="B20" s="904" t="s">
        <v>8</v>
      </c>
      <c r="C20" s="906" t="s">
        <v>8</v>
      </c>
      <c r="D20" s="908" t="s">
        <v>51</v>
      </c>
      <c r="E20" s="910">
        <f>SUM($E$18:$E$19)</f>
        <v>0</v>
      </c>
      <c r="F20" s="906" t="s">
        <v>8</v>
      </c>
      <c r="G20" s="912" t="s">
        <v>8</v>
      </c>
      <c r="H20" s="892" t="s">
        <v>8</v>
      </c>
      <c r="I20" s="85" t="s">
        <v>8</v>
      </c>
    </row>
    <row r="21" spans="1:9" ht="15.75" thickTop="1">
      <c r="A21" s="85" t="s">
        <v>8</v>
      </c>
      <c r="B21" s="894" t="s">
        <v>8</v>
      </c>
      <c r="C21" s="85" t="s">
        <v>8</v>
      </c>
      <c r="D21" s="85" t="s">
        <v>8</v>
      </c>
      <c r="E21" s="86" t="s">
        <v>8</v>
      </c>
      <c r="F21" s="85" t="s">
        <v>8</v>
      </c>
      <c r="G21" s="893" t="s">
        <v>8</v>
      </c>
      <c r="H21" s="85" t="s">
        <v>8</v>
      </c>
      <c r="I21" s="85" t="s">
        <v>8</v>
      </c>
    </row>
    <row r="22" spans="1:9" ht="15.75" thickBot="1">
      <c r="A22" s="85" t="s">
        <v>8</v>
      </c>
      <c r="B22" s="894" t="s">
        <v>8</v>
      </c>
      <c r="C22" s="85" t="s">
        <v>8</v>
      </c>
      <c r="D22" s="85" t="s">
        <v>8</v>
      </c>
      <c r="E22" s="86" t="s">
        <v>8</v>
      </c>
      <c r="F22" s="85" t="s">
        <v>8</v>
      </c>
      <c r="G22" s="893" t="s">
        <v>8</v>
      </c>
      <c r="H22" s="85" t="s">
        <v>8</v>
      </c>
      <c r="I22" s="85" t="s">
        <v>8</v>
      </c>
    </row>
    <row r="23" spans="1:9" ht="15.75" thickTop="1">
      <c r="A23" s="85" t="s">
        <v>8</v>
      </c>
      <c r="B23" s="916" t="s">
        <v>8</v>
      </c>
      <c r="C23" s="902" t="s">
        <v>8</v>
      </c>
      <c r="D23" s="907" t="s">
        <v>201</v>
      </c>
      <c r="E23" s="917" t="s">
        <v>8</v>
      </c>
      <c r="F23" s="902" t="s">
        <v>8</v>
      </c>
      <c r="G23" s="918" t="s">
        <v>8</v>
      </c>
      <c r="H23" s="889" t="s">
        <v>8</v>
      </c>
      <c r="I23" s="85" t="s">
        <v>8</v>
      </c>
    </row>
    <row r="24" spans="1:9">
      <c r="A24" s="85" t="s">
        <v>8</v>
      </c>
      <c r="B24" s="903" t="s">
        <v>8</v>
      </c>
      <c r="C24" s="905" t="s">
        <v>8</v>
      </c>
      <c r="D24" s="905" t="s">
        <v>8</v>
      </c>
      <c r="E24" s="909" t="s">
        <v>8</v>
      </c>
      <c r="F24" s="905" t="s">
        <v>8</v>
      </c>
      <c r="G24" s="911" t="s">
        <v>8</v>
      </c>
      <c r="H24" s="897" t="s">
        <v>8</v>
      </c>
      <c r="I24" s="85" t="s">
        <v>8</v>
      </c>
    </row>
    <row r="25" spans="1:9">
      <c r="A25" s="85" t="s">
        <v>8</v>
      </c>
      <c r="B25" s="903" t="s">
        <v>8</v>
      </c>
      <c r="C25" s="905" t="s">
        <v>8</v>
      </c>
      <c r="D25" s="905" t="s">
        <v>8</v>
      </c>
      <c r="E25" s="909" t="s">
        <v>8</v>
      </c>
      <c r="F25" s="905" t="s">
        <v>8</v>
      </c>
      <c r="G25" s="911" t="s">
        <v>8</v>
      </c>
      <c r="H25" s="897" t="s">
        <v>8</v>
      </c>
      <c r="I25" s="85" t="s">
        <v>8</v>
      </c>
    </row>
    <row r="26" spans="1:9" ht="15.75" thickBot="1">
      <c r="A26" s="85" t="s">
        <v>8</v>
      </c>
      <c r="B26" s="904" t="s">
        <v>8</v>
      </c>
      <c r="C26" s="906" t="s">
        <v>8</v>
      </c>
      <c r="D26" s="908" t="s">
        <v>51</v>
      </c>
      <c r="E26" s="910">
        <f>SUM($E$24:$E$25)</f>
        <v>0</v>
      </c>
      <c r="F26" s="906" t="s">
        <v>8</v>
      </c>
      <c r="G26" s="912" t="s">
        <v>8</v>
      </c>
      <c r="H26" s="892" t="s">
        <v>8</v>
      </c>
      <c r="I26" s="85" t="s">
        <v>8</v>
      </c>
    </row>
    <row r="27" spans="1:9" ht="15.75" thickTop="1">
      <c r="A27" s="85" t="s">
        <v>8</v>
      </c>
      <c r="B27" s="894" t="s">
        <v>8</v>
      </c>
      <c r="C27" s="85" t="s">
        <v>8</v>
      </c>
      <c r="D27" s="85" t="s">
        <v>8</v>
      </c>
      <c r="E27" s="86" t="s">
        <v>8</v>
      </c>
      <c r="F27" s="85" t="s">
        <v>8</v>
      </c>
      <c r="G27" s="893" t="s">
        <v>8</v>
      </c>
      <c r="H27" s="85" t="s">
        <v>8</v>
      </c>
      <c r="I27" s="85" t="s">
        <v>8</v>
      </c>
    </row>
    <row r="28" spans="1:9" ht="15.75" thickBot="1">
      <c r="A28" s="85" t="s">
        <v>8</v>
      </c>
      <c r="B28" s="894" t="s">
        <v>8</v>
      </c>
      <c r="C28" s="85" t="s">
        <v>8</v>
      </c>
      <c r="D28" s="85" t="s">
        <v>8</v>
      </c>
      <c r="E28" s="86" t="s">
        <v>8</v>
      </c>
      <c r="F28" s="85" t="s">
        <v>8</v>
      </c>
      <c r="G28" s="893" t="s">
        <v>8</v>
      </c>
      <c r="H28" s="85" t="s">
        <v>8</v>
      </c>
      <c r="I28" s="85" t="s">
        <v>8</v>
      </c>
    </row>
    <row r="29" spans="1:9" ht="15.75" thickTop="1">
      <c r="A29" s="85" t="s">
        <v>8</v>
      </c>
      <c r="B29" s="916" t="s">
        <v>8</v>
      </c>
      <c r="C29" s="902" t="s">
        <v>8</v>
      </c>
      <c r="D29" s="907" t="s">
        <v>202</v>
      </c>
      <c r="E29" s="917" t="s">
        <v>8</v>
      </c>
      <c r="F29" s="902" t="s">
        <v>8</v>
      </c>
      <c r="G29" s="918" t="s">
        <v>8</v>
      </c>
      <c r="H29" s="889" t="s">
        <v>8</v>
      </c>
      <c r="I29" s="85" t="s">
        <v>8</v>
      </c>
    </row>
    <row r="30" spans="1:9">
      <c r="A30" s="85" t="s">
        <v>8</v>
      </c>
      <c r="B30" s="903" t="s">
        <v>8</v>
      </c>
      <c r="C30" s="905" t="s">
        <v>8</v>
      </c>
      <c r="D30" s="905" t="s">
        <v>8</v>
      </c>
      <c r="E30" s="909" t="s">
        <v>8</v>
      </c>
      <c r="F30" s="905" t="s">
        <v>8</v>
      </c>
      <c r="G30" s="911" t="s">
        <v>8</v>
      </c>
      <c r="H30" s="897" t="s">
        <v>8</v>
      </c>
      <c r="I30" s="85" t="s">
        <v>8</v>
      </c>
    </row>
    <row r="31" spans="1:9">
      <c r="A31" s="85" t="s">
        <v>8</v>
      </c>
      <c r="B31" s="903" t="s">
        <v>8</v>
      </c>
      <c r="C31" s="905" t="s">
        <v>8</v>
      </c>
      <c r="D31" s="905" t="s">
        <v>8</v>
      </c>
      <c r="E31" s="909" t="s">
        <v>8</v>
      </c>
      <c r="F31" s="905" t="s">
        <v>8</v>
      </c>
      <c r="G31" s="911" t="s">
        <v>8</v>
      </c>
      <c r="H31" s="897" t="s">
        <v>8</v>
      </c>
      <c r="I31" s="85" t="s">
        <v>8</v>
      </c>
    </row>
    <row r="32" spans="1:9" ht="15.75" thickBot="1">
      <c r="A32" s="85" t="s">
        <v>8</v>
      </c>
      <c r="B32" s="904" t="s">
        <v>8</v>
      </c>
      <c r="C32" s="906" t="s">
        <v>8</v>
      </c>
      <c r="D32" s="908" t="s">
        <v>51</v>
      </c>
      <c r="E32" s="910">
        <f>SUM($E$30:$E$31)</f>
        <v>0</v>
      </c>
      <c r="F32" s="906" t="s">
        <v>8</v>
      </c>
      <c r="G32" s="912" t="s">
        <v>8</v>
      </c>
      <c r="H32" s="892" t="s">
        <v>8</v>
      </c>
      <c r="I32" s="85" t="s">
        <v>8</v>
      </c>
    </row>
    <row r="33" spans="1:9" ht="15.75" thickTop="1">
      <c r="A33" s="85" t="s">
        <v>8</v>
      </c>
      <c r="B33" s="894" t="s">
        <v>8</v>
      </c>
      <c r="C33" s="85" t="s">
        <v>8</v>
      </c>
      <c r="D33" s="85" t="s">
        <v>8</v>
      </c>
      <c r="E33" s="86" t="s">
        <v>8</v>
      </c>
      <c r="F33" s="85" t="s">
        <v>8</v>
      </c>
      <c r="G33" s="893" t="s">
        <v>8</v>
      </c>
      <c r="H33" s="85" t="s">
        <v>8</v>
      </c>
      <c r="I33" s="85" t="s">
        <v>8</v>
      </c>
    </row>
    <row r="34" spans="1:9" ht="15.75" thickBot="1">
      <c r="A34" s="85" t="s">
        <v>8</v>
      </c>
      <c r="B34" s="894" t="s">
        <v>8</v>
      </c>
      <c r="C34" s="85" t="s">
        <v>8</v>
      </c>
      <c r="D34" s="85" t="s">
        <v>8</v>
      </c>
      <c r="E34" s="86" t="s">
        <v>8</v>
      </c>
      <c r="F34" s="85" t="s">
        <v>8</v>
      </c>
      <c r="G34" s="893" t="s">
        <v>8</v>
      </c>
      <c r="H34" s="85" t="s">
        <v>8</v>
      </c>
      <c r="I34" s="85" t="s">
        <v>8</v>
      </c>
    </row>
    <row r="35" spans="1:9" ht="15.75" thickTop="1">
      <c r="A35" s="85" t="s">
        <v>8</v>
      </c>
      <c r="B35" s="916" t="s">
        <v>8</v>
      </c>
      <c r="C35" s="902" t="s">
        <v>8</v>
      </c>
      <c r="D35" s="907" t="s">
        <v>203</v>
      </c>
      <c r="E35" s="917" t="s">
        <v>8</v>
      </c>
      <c r="F35" s="902" t="s">
        <v>8</v>
      </c>
      <c r="G35" s="918" t="s">
        <v>8</v>
      </c>
      <c r="H35" s="889" t="s">
        <v>8</v>
      </c>
      <c r="I35" s="85" t="s">
        <v>8</v>
      </c>
    </row>
    <row r="36" spans="1:9">
      <c r="A36" s="85" t="s">
        <v>8</v>
      </c>
      <c r="B36" s="903" t="s">
        <v>8</v>
      </c>
      <c r="C36" s="905" t="s">
        <v>8</v>
      </c>
      <c r="D36" s="905" t="s">
        <v>8</v>
      </c>
      <c r="E36" s="909" t="s">
        <v>8</v>
      </c>
      <c r="F36" s="905" t="s">
        <v>8</v>
      </c>
      <c r="G36" s="911" t="s">
        <v>8</v>
      </c>
      <c r="H36" s="897" t="s">
        <v>8</v>
      </c>
      <c r="I36" s="85" t="s">
        <v>8</v>
      </c>
    </row>
    <row r="37" spans="1:9">
      <c r="A37" s="85" t="s">
        <v>8</v>
      </c>
      <c r="B37" s="903" t="s">
        <v>8</v>
      </c>
      <c r="C37" s="905" t="s">
        <v>8</v>
      </c>
      <c r="D37" s="905" t="s">
        <v>8</v>
      </c>
      <c r="E37" s="909" t="s">
        <v>8</v>
      </c>
      <c r="F37" s="905" t="s">
        <v>8</v>
      </c>
      <c r="G37" s="911" t="s">
        <v>8</v>
      </c>
      <c r="H37" s="897" t="s">
        <v>8</v>
      </c>
      <c r="I37" s="85" t="s">
        <v>8</v>
      </c>
    </row>
    <row r="38" spans="1:9" ht="15.75" thickBot="1">
      <c r="A38" s="85" t="s">
        <v>8</v>
      </c>
      <c r="B38" s="904" t="s">
        <v>8</v>
      </c>
      <c r="C38" s="906" t="s">
        <v>8</v>
      </c>
      <c r="D38" s="908" t="s">
        <v>51</v>
      </c>
      <c r="E38" s="910">
        <f>SUM($E$36:$E$37)</f>
        <v>0</v>
      </c>
      <c r="F38" s="906" t="s">
        <v>8</v>
      </c>
      <c r="G38" s="912" t="s">
        <v>8</v>
      </c>
      <c r="H38" s="892" t="s">
        <v>8</v>
      </c>
      <c r="I38" s="85" t="s">
        <v>8</v>
      </c>
    </row>
    <row r="39" spans="1:9" ht="16.5" thickTop="1" thickBot="1">
      <c r="A39" s="85" t="s">
        <v>8</v>
      </c>
      <c r="B39" s="894" t="s">
        <v>8</v>
      </c>
      <c r="C39" s="85" t="s">
        <v>8</v>
      </c>
      <c r="D39" s="85" t="s">
        <v>8</v>
      </c>
      <c r="E39" s="86" t="s">
        <v>8</v>
      </c>
      <c r="F39" s="85" t="s">
        <v>8</v>
      </c>
      <c r="G39" s="893" t="s">
        <v>8</v>
      </c>
      <c r="H39" s="85" t="s">
        <v>8</v>
      </c>
      <c r="I39" s="85" t="s">
        <v>8</v>
      </c>
    </row>
    <row r="40" spans="1:9" ht="15.75" thickTop="1">
      <c r="A40" s="85" t="s">
        <v>8</v>
      </c>
      <c r="B40" s="913" t="s">
        <v>8</v>
      </c>
      <c r="C40" s="888" t="s">
        <v>8</v>
      </c>
      <c r="D40" s="888" t="s">
        <v>8</v>
      </c>
      <c r="E40" s="914" t="s">
        <v>8</v>
      </c>
      <c r="F40" s="888" t="s">
        <v>8</v>
      </c>
      <c r="G40" s="915" t="s">
        <v>8</v>
      </c>
      <c r="H40" s="889" t="s">
        <v>8</v>
      </c>
      <c r="I40" s="85" t="s">
        <v>8</v>
      </c>
    </row>
    <row r="41" spans="1:9">
      <c r="A41" s="85" t="s">
        <v>8</v>
      </c>
      <c r="B41" s="896" t="s">
        <v>8</v>
      </c>
      <c r="C41" s="2047" t="s">
        <v>8</v>
      </c>
      <c r="D41" s="2049" t="s">
        <v>114</v>
      </c>
      <c r="E41" s="2048">
        <f>ABS(E13+$E$20-$E$38+$E$26-$E$32)</f>
        <v>2313</v>
      </c>
      <c r="F41" s="2047" t="s">
        <v>8</v>
      </c>
      <c r="G41" s="2051" t="s">
        <v>8</v>
      </c>
      <c r="H41" s="897" t="s">
        <v>8</v>
      </c>
      <c r="I41" s="85" t="s">
        <v>8</v>
      </c>
    </row>
    <row r="42" spans="1:9">
      <c r="A42" s="85" t="s">
        <v>8</v>
      </c>
      <c r="B42" s="896" t="s">
        <v>8</v>
      </c>
      <c r="C42" s="2047" t="s">
        <v>8</v>
      </c>
      <c r="D42" s="2049" t="s">
        <v>115</v>
      </c>
      <c r="E42" s="2048">
        <v>2313</v>
      </c>
      <c r="F42" s="2047" t="s">
        <v>8</v>
      </c>
      <c r="G42" s="2051" t="s">
        <v>8</v>
      </c>
      <c r="H42" s="897" t="s">
        <v>8</v>
      </c>
      <c r="I42" s="85" t="s">
        <v>29</v>
      </c>
    </row>
    <row r="43" spans="1:9" ht="15.75" thickBot="1">
      <c r="A43" s="85" t="s">
        <v>8</v>
      </c>
      <c r="B43" s="898" t="s">
        <v>8</v>
      </c>
      <c r="C43" s="891" t="s">
        <v>8</v>
      </c>
      <c r="D43" s="899" t="s">
        <v>117</v>
      </c>
      <c r="E43" s="900">
        <f>$E$42-$E$41</f>
        <v>0</v>
      </c>
      <c r="F43" s="891" t="s">
        <v>8</v>
      </c>
      <c r="G43" s="901" t="s">
        <v>8</v>
      </c>
      <c r="H43" s="892" t="s">
        <v>8</v>
      </c>
      <c r="I43" s="85" t="s">
        <v>8</v>
      </c>
    </row>
    <row r="44" spans="1:9" ht="16.5" thickTop="1" thickBot="1">
      <c r="A44" s="85" t="s">
        <v>8</v>
      </c>
      <c r="B44" s="894" t="s">
        <v>8</v>
      </c>
      <c r="C44" s="85" t="s">
        <v>8</v>
      </c>
      <c r="D44" s="85" t="s">
        <v>8</v>
      </c>
      <c r="E44" s="86" t="s">
        <v>8</v>
      </c>
      <c r="F44" s="85" t="s">
        <v>8</v>
      </c>
      <c r="G44" s="893" t="s">
        <v>8</v>
      </c>
      <c r="H44" s="85" t="s">
        <v>8</v>
      </c>
      <c r="I44" s="85" t="s">
        <v>8</v>
      </c>
    </row>
    <row r="45" spans="1:9" ht="15.75" thickTop="1">
      <c r="A45" s="85" t="s">
        <v>8</v>
      </c>
      <c r="B45" s="913" t="s">
        <v>8</v>
      </c>
      <c r="C45" s="888" t="s">
        <v>8</v>
      </c>
      <c r="D45" s="895" t="s">
        <v>118</v>
      </c>
      <c r="E45" s="919" t="s">
        <v>119</v>
      </c>
      <c r="F45" s="895" t="s">
        <v>120</v>
      </c>
      <c r="G45" s="915">
        <v>45981</v>
      </c>
      <c r="H45" s="889" t="s">
        <v>8</v>
      </c>
      <c r="I45" s="85" t="s">
        <v>8</v>
      </c>
    </row>
    <row r="46" spans="1:9">
      <c r="A46" s="85" t="s">
        <v>8</v>
      </c>
      <c r="B46" s="896" t="s">
        <v>8</v>
      </c>
      <c r="C46" s="2047" t="s">
        <v>8</v>
      </c>
      <c r="D46" s="2047" t="s">
        <v>8</v>
      </c>
      <c r="E46" s="2050" t="s">
        <v>8</v>
      </c>
      <c r="F46" s="2047" t="s">
        <v>8</v>
      </c>
      <c r="G46" s="2051" t="s">
        <v>8</v>
      </c>
      <c r="H46" s="897" t="s">
        <v>8</v>
      </c>
      <c r="I46" s="85" t="s">
        <v>8</v>
      </c>
    </row>
    <row r="47" spans="1:9">
      <c r="A47" s="85" t="s">
        <v>8</v>
      </c>
      <c r="B47" s="896" t="s">
        <v>8</v>
      </c>
      <c r="C47" s="2047" t="s">
        <v>8</v>
      </c>
      <c r="D47" s="2047" t="s">
        <v>8</v>
      </c>
      <c r="E47" s="2050" t="s">
        <v>8</v>
      </c>
      <c r="F47" s="2047" t="s">
        <v>8</v>
      </c>
      <c r="G47" s="2051" t="s">
        <v>8</v>
      </c>
      <c r="H47" s="897" t="s">
        <v>8</v>
      </c>
      <c r="I47" s="85" t="s">
        <v>8</v>
      </c>
    </row>
    <row r="48" spans="1:9">
      <c r="A48" s="85" t="s">
        <v>8</v>
      </c>
      <c r="B48" s="896" t="s">
        <v>8</v>
      </c>
      <c r="C48" s="2047" t="s">
        <v>8</v>
      </c>
      <c r="D48" s="2049" t="s">
        <v>121</v>
      </c>
      <c r="E48" s="2048" t="s">
        <v>8</v>
      </c>
      <c r="F48" s="2049" t="s">
        <v>120</v>
      </c>
      <c r="G48" s="2051" t="s">
        <v>8</v>
      </c>
      <c r="H48" s="897" t="s">
        <v>8</v>
      </c>
      <c r="I48" s="85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topLeftCell="A14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76" bestFit="1" customWidth="1"/>
    <col min="5" max="5" width="24.5703125" bestFit="1" customWidth="1"/>
    <col min="6" max="6" width="76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196</v>
      </c>
    </row>
    <row r="2" spans="1:9">
      <c r="A2" s="88" t="s">
        <v>8</v>
      </c>
      <c r="B2" s="88" t="s">
        <v>8</v>
      </c>
      <c r="C2" s="88" t="s">
        <v>8</v>
      </c>
      <c r="D2" s="88" t="s">
        <v>8</v>
      </c>
      <c r="E2" s="88" t="s">
        <v>8</v>
      </c>
      <c r="F2" s="88" t="s">
        <v>8</v>
      </c>
      <c r="G2" s="88" t="s">
        <v>8</v>
      </c>
      <c r="H2" s="88" t="s">
        <v>8</v>
      </c>
      <c r="I2" s="88" t="s">
        <v>8</v>
      </c>
    </row>
    <row r="3" spans="1:9" ht="15.75" thickBot="1">
      <c r="A3" s="88" t="s">
        <v>8</v>
      </c>
      <c r="B3" s="88" t="s">
        <v>8</v>
      </c>
      <c r="C3" s="88" t="s">
        <v>8</v>
      </c>
      <c r="D3" s="88" t="s">
        <v>8</v>
      </c>
      <c r="E3" s="88" t="s">
        <v>8</v>
      </c>
      <c r="F3" s="88" t="s">
        <v>8</v>
      </c>
      <c r="G3" s="88" t="s">
        <v>8</v>
      </c>
      <c r="H3" s="88" t="s">
        <v>8</v>
      </c>
      <c r="I3" s="88" t="s">
        <v>8</v>
      </c>
    </row>
    <row r="4" spans="1:9" ht="16.5" thickTop="1" thickBot="1">
      <c r="A4" s="88" t="s">
        <v>8</v>
      </c>
      <c r="B4" s="88" t="s">
        <v>14</v>
      </c>
      <c r="C4" s="88" t="s">
        <v>8</v>
      </c>
      <c r="D4" s="921" t="s">
        <v>15</v>
      </c>
      <c r="E4" s="88" t="s">
        <v>16</v>
      </c>
      <c r="F4" s="921" t="s">
        <v>197</v>
      </c>
      <c r="G4" s="88" t="s">
        <v>8</v>
      </c>
      <c r="H4" s="88" t="s">
        <v>8</v>
      </c>
      <c r="I4" s="88" t="s">
        <v>8</v>
      </c>
    </row>
    <row r="5" spans="1:9" ht="16.5" thickTop="1" thickBot="1">
      <c r="A5" s="88" t="s">
        <v>8</v>
      </c>
      <c r="B5" s="88" t="s">
        <v>8</v>
      </c>
      <c r="C5" s="88" t="s">
        <v>8</v>
      </c>
      <c r="D5" s="88" t="s">
        <v>8</v>
      </c>
      <c r="E5" s="88" t="s">
        <v>8</v>
      </c>
      <c r="F5" s="88" t="s">
        <v>8</v>
      </c>
      <c r="G5" s="88" t="s">
        <v>8</v>
      </c>
      <c r="H5" s="88" t="s">
        <v>8</v>
      </c>
      <c r="I5" s="88" t="s">
        <v>8</v>
      </c>
    </row>
    <row r="6" spans="1:9" ht="16.5" thickTop="1" thickBot="1">
      <c r="A6" s="88" t="s">
        <v>8</v>
      </c>
      <c r="B6" s="88" t="s">
        <v>18</v>
      </c>
      <c r="C6" s="88" t="s">
        <v>8</v>
      </c>
      <c r="D6" s="921" t="s">
        <v>19</v>
      </c>
      <c r="E6" s="88" t="s">
        <v>20</v>
      </c>
      <c r="F6" s="921" t="s">
        <v>206</v>
      </c>
      <c r="G6" s="88" t="s">
        <v>8</v>
      </c>
      <c r="H6" s="88" t="s">
        <v>8</v>
      </c>
      <c r="I6" s="88" t="s">
        <v>8</v>
      </c>
    </row>
    <row r="7" spans="1:9" ht="16.5" thickTop="1" thickBot="1">
      <c r="A7" s="88" t="s">
        <v>8</v>
      </c>
      <c r="B7" s="88" t="s">
        <v>8</v>
      </c>
      <c r="C7" s="88" t="s">
        <v>8</v>
      </c>
      <c r="D7" s="88" t="s">
        <v>8</v>
      </c>
      <c r="E7" s="88" t="s">
        <v>8</v>
      </c>
      <c r="F7" s="88" t="s">
        <v>8</v>
      </c>
      <c r="G7" s="88" t="s">
        <v>8</v>
      </c>
      <c r="H7" s="88" t="s">
        <v>8</v>
      </c>
      <c r="I7" s="88" t="s">
        <v>8</v>
      </c>
    </row>
    <row r="8" spans="1:9" ht="16.5" thickTop="1" thickBot="1">
      <c r="A8" s="88" t="s">
        <v>8</v>
      </c>
      <c r="B8" s="88" t="s">
        <v>22</v>
      </c>
      <c r="C8" s="88" t="s">
        <v>8</v>
      </c>
      <c r="D8" s="921" t="s">
        <v>11</v>
      </c>
      <c r="E8" s="88" t="s">
        <v>23</v>
      </c>
      <c r="F8" s="921" t="s">
        <v>8</v>
      </c>
      <c r="G8" s="88" t="s">
        <v>8</v>
      </c>
      <c r="H8" s="88" t="s">
        <v>8</v>
      </c>
      <c r="I8" s="88" t="s">
        <v>8</v>
      </c>
    </row>
    <row r="9" spans="1:9" ht="16.5" thickTop="1" thickBot="1">
      <c r="A9" s="88" t="s">
        <v>8</v>
      </c>
      <c r="B9" s="88" t="s">
        <v>8</v>
      </c>
      <c r="C9" s="88" t="s">
        <v>8</v>
      </c>
      <c r="D9" s="88" t="s">
        <v>8</v>
      </c>
      <c r="E9" s="88" t="s">
        <v>8</v>
      </c>
      <c r="F9" s="88" t="s">
        <v>8</v>
      </c>
      <c r="G9" s="88" t="s">
        <v>8</v>
      </c>
      <c r="H9" s="88" t="s">
        <v>8</v>
      </c>
      <c r="I9" s="88" t="s">
        <v>8</v>
      </c>
    </row>
    <row r="10" spans="1:9" ht="16.5" thickTop="1" thickBot="1">
      <c r="A10" s="88" t="s">
        <v>8</v>
      </c>
      <c r="B10" s="88" t="s">
        <v>25</v>
      </c>
      <c r="C10" s="88" t="s">
        <v>8</v>
      </c>
      <c r="D10" s="921" t="s">
        <v>26</v>
      </c>
      <c r="E10" s="88" t="s">
        <v>8</v>
      </c>
      <c r="F10" s="88" t="s">
        <v>8</v>
      </c>
      <c r="G10" s="88" t="s">
        <v>8</v>
      </c>
      <c r="H10" s="88" t="s">
        <v>8</v>
      </c>
      <c r="I10" s="88" t="s">
        <v>8</v>
      </c>
    </row>
    <row r="11" spans="1:9" ht="16.5" thickTop="1" thickBot="1">
      <c r="A11" s="88" t="s">
        <v>8</v>
      </c>
      <c r="B11" s="88" t="s">
        <v>8</v>
      </c>
      <c r="C11" s="88" t="s">
        <v>8</v>
      </c>
      <c r="D11" s="88" t="s">
        <v>8</v>
      </c>
      <c r="E11" s="88" t="s">
        <v>8</v>
      </c>
      <c r="F11" s="88" t="s">
        <v>8</v>
      </c>
      <c r="G11" s="88" t="s">
        <v>8</v>
      </c>
      <c r="H11" s="88" t="s">
        <v>8</v>
      </c>
      <c r="I11" s="88" t="s">
        <v>8</v>
      </c>
    </row>
    <row r="12" spans="1:9" ht="16.5" thickTop="1" thickBot="1">
      <c r="A12" s="88" t="s">
        <v>8</v>
      </c>
      <c r="B12" s="922" t="s">
        <v>8</v>
      </c>
      <c r="C12" s="923" t="s">
        <v>8</v>
      </c>
      <c r="D12" s="923" t="s">
        <v>8</v>
      </c>
      <c r="E12" s="923" t="s">
        <v>8</v>
      </c>
      <c r="F12" s="923" t="s">
        <v>8</v>
      </c>
      <c r="G12" s="923" t="s">
        <v>8</v>
      </c>
      <c r="H12" s="924" t="s">
        <v>8</v>
      </c>
      <c r="I12" s="88" t="s">
        <v>8</v>
      </c>
    </row>
    <row r="13" spans="1:9" ht="16.5" thickTop="1" thickBot="1">
      <c r="A13" s="88" t="s">
        <v>8</v>
      </c>
      <c r="B13" s="925" t="s">
        <v>8</v>
      </c>
      <c r="C13" s="920" t="s">
        <v>11</v>
      </c>
      <c r="D13" s="926" t="s">
        <v>28</v>
      </c>
      <c r="E13" s="935">
        <v>4692166.8600000003</v>
      </c>
      <c r="F13" s="926" t="s">
        <v>8</v>
      </c>
      <c r="G13" s="926" t="s">
        <v>8</v>
      </c>
      <c r="H13" s="927" t="s">
        <v>8</v>
      </c>
      <c r="I13" s="88" t="s">
        <v>29</v>
      </c>
    </row>
    <row r="14" spans="1:9" ht="16.5" thickTop="1" thickBot="1">
      <c r="A14" s="88" t="s">
        <v>8</v>
      </c>
      <c r="B14" s="88" t="s">
        <v>8</v>
      </c>
      <c r="C14" s="88" t="s">
        <v>8</v>
      </c>
      <c r="D14" s="88" t="s">
        <v>8</v>
      </c>
      <c r="E14" s="88" t="s">
        <v>8</v>
      </c>
      <c r="F14" s="88" t="s">
        <v>8</v>
      </c>
      <c r="G14" s="88" t="s">
        <v>8</v>
      </c>
      <c r="H14" s="88" t="s">
        <v>8</v>
      </c>
      <c r="I14" s="88" t="s">
        <v>8</v>
      </c>
    </row>
    <row r="15" spans="1:9" ht="16.5" thickTop="1" thickBot="1">
      <c r="A15" s="88" t="s">
        <v>8</v>
      </c>
      <c r="B15" s="921" t="s">
        <v>30</v>
      </c>
      <c r="C15" s="920" t="s">
        <v>31</v>
      </c>
      <c r="D15" s="920" t="s">
        <v>32</v>
      </c>
      <c r="E15" s="920" t="s">
        <v>33</v>
      </c>
      <c r="F15" s="920" t="s">
        <v>34</v>
      </c>
      <c r="G15" s="920" t="s">
        <v>35</v>
      </c>
      <c r="H15" s="920" t="s">
        <v>36</v>
      </c>
      <c r="I15" s="88" t="s">
        <v>8</v>
      </c>
    </row>
    <row r="16" spans="1:9" ht="16.5" thickTop="1" thickBot="1">
      <c r="A16" s="88" t="s">
        <v>8</v>
      </c>
      <c r="B16" s="88" t="s">
        <v>8</v>
      </c>
      <c r="C16" s="88" t="s">
        <v>8</v>
      </c>
      <c r="D16" s="88" t="s">
        <v>8</v>
      </c>
      <c r="E16" s="88" t="s">
        <v>8</v>
      </c>
      <c r="F16" s="88" t="s">
        <v>8</v>
      </c>
      <c r="G16" s="88" t="s">
        <v>8</v>
      </c>
      <c r="H16" s="88" t="s">
        <v>8</v>
      </c>
      <c r="I16" s="88" t="s">
        <v>8</v>
      </c>
    </row>
    <row r="17" spans="1:9" ht="15.75" thickTop="1">
      <c r="A17" s="88" t="s">
        <v>8</v>
      </c>
      <c r="B17" s="937" t="s">
        <v>8</v>
      </c>
      <c r="C17" s="937" t="s">
        <v>8</v>
      </c>
      <c r="D17" s="942" t="s">
        <v>200</v>
      </c>
      <c r="E17" s="937" t="s">
        <v>8</v>
      </c>
      <c r="F17" s="937" t="s">
        <v>8</v>
      </c>
      <c r="G17" s="937" t="s">
        <v>8</v>
      </c>
      <c r="H17" s="924" t="s">
        <v>8</v>
      </c>
      <c r="I17" s="88" t="s">
        <v>8</v>
      </c>
    </row>
    <row r="18" spans="1:9">
      <c r="A18" s="88" t="s">
        <v>8</v>
      </c>
      <c r="B18" s="938">
        <v>1</v>
      </c>
      <c r="C18" s="940" t="s">
        <v>48</v>
      </c>
      <c r="D18" s="940" t="s">
        <v>207</v>
      </c>
      <c r="E18" s="944">
        <v>100000</v>
      </c>
      <c r="F18" s="940" t="s">
        <v>207</v>
      </c>
      <c r="G18" s="946">
        <v>1</v>
      </c>
      <c r="H18" s="932" t="s">
        <v>41</v>
      </c>
      <c r="I18" s="88" t="s">
        <v>8</v>
      </c>
    </row>
    <row r="19" spans="1:9">
      <c r="A19" s="88" t="s">
        <v>8</v>
      </c>
      <c r="B19" s="938">
        <v>2</v>
      </c>
      <c r="C19" s="940" t="s">
        <v>27</v>
      </c>
      <c r="D19" s="940" t="s">
        <v>208</v>
      </c>
      <c r="E19" s="944">
        <v>40000</v>
      </c>
      <c r="F19" s="940" t="s">
        <v>209</v>
      </c>
      <c r="G19" s="946">
        <v>0</v>
      </c>
      <c r="H19" s="932" t="s">
        <v>41</v>
      </c>
      <c r="I19" s="88" t="s">
        <v>8</v>
      </c>
    </row>
    <row r="20" spans="1:9">
      <c r="A20" s="88" t="s">
        <v>8</v>
      </c>
      <c r="B20" s="938">
        <v>3</v>
      </c>
      <c r="C20" s="940" t="s">
        <v>27</v>
      </c>
      <c r="D20" s="940" t="s">
        <v>210</v>
      </c>
      <c r="E20" s="944">
        <v>3000000</v>
      </c>
      <c r="F20" s="940" t="s">
        <v>211</v>
      </c>
      <c r="G20" s="946">
        <v>0</v>
      </c>
      <c r="H20" s="932" t="s">
        <v>41</v>
      </c>
      <c r="I20" s="88" t="s">
        <v>8</v>
      </c>
    </row>
    <row r="21" spans="1:9">
      <c r="A21" s="88" t="s">
        <v>8</v>
      </c>
      <c r="B21" s="938" t="s">
        <v>8</v>
      </c>
      <c r="C21" s="940" t="s">
        <v>8</v>
      </c>
      <c r="D21" s="940" t="s">
        <v>8</v>
      </c>
      <c r="E21" s="944" t="s">
        <v>8</v>
      </c>
      <c r="F21" s="940" t="s">
        <v>8</v>
      </c>
      <c r="G21" s="946" t="s">
        <v>8</v>
      </c>
      <c r="H21" s="932" t="s">
        <v>8</v>
      </c>
      <c r="I21" s="88" t="s">
        <v>8</v>
      </c>
    </row>
    <row r="22" spans="1:9" ht="15.75" thickBot="1">
      <c r="A22" s="88" t="s">
        <v>8</v>
      </c>
      <c r="B22" s="939" t="s">
        <v>8</v>
      </c>
      <c r="C22" s="941" t="s">
        <v>8</v>
      </c>
      <c r="D22" s="943" t="s">
        <v>51</v>
      </c>
      <c r="E22" s="945">
        <f>SUM($E$18:$E$21)</f>
        <v>3140000</v>
      </c>
      <c r="F22" s="941" t="s">
        <v>8</v>
      </c>
      <c r="G22" s="947" t="s">
        <v>8</v>
      </c>
      <c r="H22" s="927" t="s">
        <v>8</v>
      </c>
      <c r="I22" s="88" t="s">
        <v>8</v>
      </c>
    </row>
    <row r="23" spans="1:9" ht="15.75" thickTop="1">
      <c r="A23" s="88" t="s">
        <v>8</v>
      </c>
      <c r="B23" s="929" t="s">
        <v>8</v>
      </c>
      <c r="C23" s="88" t="s">
        <v>8</v>
      </c>
      <c r="D23" s="88" t="s">
        <v>8</v>
      </c>
      <c r="E23" s="89" t="s">
        <v>8</v>
      </c>
      <c r="F23" s="88" t="s">
        <v>8</v>
      </c>
      <c r="G23" s="928" t="s">
        <v>8</v>
      </c>
      <c r="H23" s="88" t="s">
        <v>8</v>
      </c>
      <c r="I23" s="88" t="s">
        <v>8</v>
      </c>
    </row>
    <row r="24" spans="1:9" ht="15.75" thickBot="1">
      <c r="A24" s="88" t="s">
        <v>8</v>
      </c>
      <c r="B24" s="929" t="s">
        <v>8</v>
      </c>
      <c r="C24" s="88" t="s">
        <v>8</v>
      </c>
      <c r="D24" s="88" t="s">
        <v>8</v>
      </c>
      <c r="E24" s="89" t="s">
        <v>8</v>
      </c>
      <c r="F24" s="88" t="s">
        <v>8</v>
      </c>
      <c r="G24" s="928" t="s">
        <v>8</v>
      </c>
      <c r="H24" s="88" t="s">
        <v>8</v>
      </c>
      <c r="I24" s="88" t="s">
        <v>8</v>
      </c>
    </row>
    <row r="25" spans="1:9" ht="15.75" thickTop="1">
      <c r="A25" s="88" t="s">
        <v>8</v>
      </c>
      <c r="B25" s="951" t="s">
        <v>8</v>
      </c>
      <c r="C25" s="937" t="s">
        <v>8</v>
      </c>
      <c r="D25" s="942" t="s">
        <v>201</v>
      </c>
      <c r="E25" s="952" t="s">
        <v>8</v>
      </c>
      <c r="F25" s="937" t="s">
        <v>8</v>
      </c>
      <c r="G25" s="953" t="s">
        <v>8</v>
      </c>
      <c r="H25" s="924" t="s">
        <v>8</v>
      </c>
      <c r="I25" s="88" t="s">
        <v>8</v>
      </c>
    </row>
    <row r="26" spans="1:9">
      <c r="A26" s="88" t="s">
        <v>8</v>
      </c>
      <c r="B26" s="938" t="s">
        <v>8</v>
      </c>
      <c r="C26" s="940" t="s">
        <v>8</v>
      </c>
      <c r="D26" s="940" t="s">
        <v>8</v>
      </c>
      <c r="E26" s="944" t="s">
        <v>8</v>
      </c>
      <c r="F26" s="940" t="s">
        <v>8</v>
      </c>
      <c r="G26" s="946" t="s">
        <v>8</v>
      </c>
      <c r="H26" s="932" t="s">
        <v>8</v>
      </c>
      <c r="I26" s="88" t="s">
        <v>8</v>
      </c>
    </row>
    <row r="27" spans="1:9">
      <c r="A27" s="88" t="s">
        <v>8</v>
      </c>
      <c r="B27" s="938" t="s">
        <v>8</v>
      </c>
      <c r="C27" s="940" t="s">
        <v>8</v>
      </c>
      <c r="D27" s="940" t="s">
        <v>8</v>
      </c>
      <c r="E27" s="944" t="s">
        <v>8</v>
      </c>
      <c r="F27" s="940" t="s">
        <v>8</v>
      </c>
      <c r="G27" s="946" t="s">
        <v>8</v>
      </c>
      <c r="H27" s="932" t="s">
        <v>8</v>
      </c>
      <c r="I27" s="88" t="s">
        <v>8</v>
      </c>
    </row>
    <row r="28" spans="1:9" ht="15.75" thickBot="1">
      <c r="A28" s="88" t="s">
        <v>8</v>
      </c>
      <c r="B28" s="939" t="s">
        <v>8</v>
      </c>
      <c r="C28" s="941" t="s">
        <v>8</v>
      </c>
      <c r="D28" s="943" t="s">
        <v>51</v>
      </c>
      <c r="E28" s="945">
        <f>SUM($E$26:$E$27)</f>
        <v>0</v>
      </c>
      <c r="F28" s="941" t="s">
        <v>8</v>
      </c>
      <c r="G28" s="947" t="s">
        <v>8</v>
      </c>
      <c r="H28" s="927" t="s">
        <v>8</v>
      </c>
      <c r="I28" s="88" t="s">
        <v>8</v>
      </c>
    </row>
    <row r="29" spans="1:9" ht="15.75" thickTop="1">
      <c r="A29" s="88" t="s">
        <v>8</v>
      </c>
      <c r="B29" s="929" t="s">
        <v>8</v>
      </c>
      <c r="C29" s="88" t="s">
        <v>8</v>
      </c>
      <c r="D29" s="88" t="s">
        <v>8</v>
      </c>
      <c r="E29" s="89" t="s">
        <v>8</v>
      </c>
      <c r="F29" s="88" t="s">
        <v>8</v>
      </c>
      <c r="G29" s="928" t="s">
        <v>8</v>
      </c>
      <c r="H29" s="88" t="s">
        <v>8</v>
      </c>
      <c r="I29" s="88" t="s">
        <v>8</v>
      </c>
    </row>
    <row r="30" spans="1:9" ht="15.75" thickBot="1">
      <c r="A30" s="88" t="s">
        <v>8</v>
      </c>
      <c r="B30" s="929" t="s">
        <v>8</v>
      </c>
      <c r="C30" s="88" t="s">
        <v>8</v>
      </c>
      <c r="D30" s="88" t="s">
        <v>8</v>
      </c>
      <c r="E30" s="89" t="s">
        <v>8</v>
      </c>
      <c r="F30" s="88" t="s">
        <v>8</v>
      </c>
      <c r="G30" s="928" t="s">
        <v>8</v>
      </c>
      <c r="H30" s="88" t="s">
        <v>8</v>
      </c>
      <c r="I30" s="88" t="s">
        <v>8</v>
      </c>
    </row>
    <row r="31" spans="1:9" ht="15.75" thickTop="1">
      <c r="A31" s="88" t="s">
        <v>8</v>
      </c>
      <c r="B31" s="951" t="s">
        <v>8</v>
      </c>
      <c r="C31" s="937" t="s">
        <v>8</v>
      </c>
      <c r="D31" s="942" t="s">
        <v>202</v>
      </c>
      <c r="E31" s="952" t="s">
        <v>8</v>
      </c>
      <c r="F31" s="937" t="s">
        <v>8</v>
      </c>
      <c r="G31" s="953" t="s">
        <v>8</v>
      </c>
      <c r="H31" s="924" t="s">
        <v>8</v>
      </c>
      <c r="I31" s="88" t="s">
        <v>8</v>
      </c>
    </row>
    <row r="32" spans="1:9">
      <c r="A32" s="88" t="s">
        <v>8</v>
      </c>
      <c r="B32" s="938">
        <v>1</v>
      </c>
      <c r="C32" s="940" t="s">
        <v>125</v>
      </c>
      <c r="D32" s="940" t="s">
        <v>212</v>
      </c>
      <c r="E32" s="944">
        <v>700000</v>
      </c>
      <c r="F32" s="940" t="s">
        <v>212</v>
      </c>
      <c r="G32" s="946">
        <v>8</v>
      </c>
      <c r="H32" s="932" t="s">
        <v>88</v>
      </c>
      <c r="I32" s="88" t="s">
        <v>8</v>
      </c>
    </row>
    <row r="33" spans="1:9">
      <c r="A33" s="88" t="s">
        <v>8</v>
      </c>
      <c r="B33" s="938">
        <v>2</v>
      </c>
      <c r="C33" s="940" t="s">
        <v>56</v>
      </c>
      <c r="D33" s="940" t="s">
        <v>213</v>
      </c>
      <c r="E33" s="944">
        <v>3000000</v>
      </c>
      <c r="F33" s="940" t="s">
        <v>213</v>
      </c>
      <c r="G33" s="946">
        <v>2</v>
      </c>
      <c r="H33" s="932" t="s">
        <v>88</v>
      </c>
      <c r="I33" s="88" t="s">
        <v>8</v>
      </c>
    </row>
    <row r="34" spans="1:9">
      <c r="A34" s="88" t="s">
        <v>8</v>
      </c>
      <c r="B34" s="938">
        <v>3</v>
      </c>
      <c r="C34" s="940" t="s">
        <v>48</v>
      </c>
      <c r="D34" s="940" t="s">
        <v>214</v>
      </c>
      <c r="E34" s="944">
        <v>40000</v>
      </c>
      <c r="F34" s="940" t="s">
        <v>214</v>
      </c>
      <c r="G34" s="946">
        <v>1</v>
      </c>
      <c r="H34" s="932" t="s">
        <v>88</v>
      </c>
      <c r="I34" s="88" t="s">
        <v>8</v>
      </c>
    </row>
    <row r="35" spans="1:9">
      <c r="A35" s="88" t="s">
        <v>8</v>
      </c>
      <c r="B35" s="938">
        <v>4</v>
      </c>
      <c r="C35" s="940" t="s">
        <v>48</v>
      </c>
      <c r="D35" s="940" t="s">
        <v>215</v>
      </c>
      <c r="E35" s="944">
        <v>100000</v>
      </c>
      <c r="F35" s="940" t="s">
        <v>215</v>
      </c>
      <c r="G35" s="946">
        <v>1</v>
      </c>
      <c r="H35" s="932" t="s">
        <v>88</v>
      </c>
      <c r="I35" s="88" t="s">
        <v>8</v>
      </c>
    </row>
    <row r="36" spans="1:9">
      <c r="A36" s="88" t="s">
        <v>8</v>
      </c>
      <c r="B36" s="938">
        <v>5</v>
      </c>
      <c r="C36" s="940" t="s">
        <v>48</v>
      </c>
      <c r="D36" s="940" t="s">
        <v>216</v>
      </c>
      <c r="E36" s="944">
        <v>300000</v>
      </c>
      <c r="F36" s="940" t="s">
        <v>217</v>
      </c>
      <c r="G36" s="946">
        <v>1</v>
      </c>
      <c r="H36" s="932" t="s">
        <v>88</v>
      </c>
      <c r="I36" s="88" t="s">
        <v>8</v>
      </c>
    </row>
    <row r="37" spans="1:9">
      <c r="A37" s="88" t="s">
        <v>8</v>
      </c>
      <c r="B37" s="938" t="s">
        <v>8</v>
      </c>
      <c r="C37" s="940" t="s">
        <v>8</v>
      </c>
      <c r="D37" s="940" t="s">
        <v>8</v>
      </c>
      <c r="E37" s="944" t="s">
        <v>8</v>
      </c>
      <c r="F37" s="940" t="s">
        <v>8</v>
      </c>
      <c r="G37" s="946" t="s">
        <v>8</v>
      </c>
      <c r="H37" s="932" t="s">
        <v>8</v>
      </c>
      <c r="I37" s="88" t="s">
        <v>8</v>
      </c>
    </row>
    <row r="38" spans="1:9" ht="15.75" thickBot="1">
      <c r="A38" s="88" t="s">
        <v>8</v>
      </c>
      <c r="B38" s="939" t="s">
        <v>8</v>
      </c>
      <c r="C38" s="941" t="s">
        <v>8</v>
      </c>
      <c r="D38" s="943" t="s">
        <v>51</v>
      </c>
      <c r="E38" s="945">
        <f>SUM($E$32:$E$37)</f>
        <v>4140000</v>
      </c>
      <c r="F38" s="941" t="s">
        <v>8</v>
      </c>
      <c r="G38" s="947" t="s">
        <v>8</v>
      </c>
      <c r="H38" s="927" t="s">
        <v>8</v>
      </c>
      <c r="I38" s="88" t="s">
        <v>8</v>
      </c>
    </row>
    <row r="39" spans="1:9" ht="15.75" thickTop="1">
      <c r="A39" s="88" t="s">
        <v>8</v>
      </c>
      <c r="B39" s="929" t="s">
        <v>8</v>
      </c>
      <c r="C39" s="88" t="s">
        <v>8</v>
      </c>
      <c r="D39" s="88" t="s">
        <v>8</v>
      </c>
      <c r="E39" s="89" t="s">
        <v>8</v>
      </c>
      <c r="F39" s="88" t="s">
        <v>8</v>
      </c>
      <c r="G39" s="928" t="s">
        <v>8</v>
      </c>
      <c r="H39" s="88" t="s">
        <v>8</v>
      </c>
      <c r="I39" s="88" t="s">
        <v>8</v>
      </c>
    </row>
    <row r="40" spans="1:9" ht="15.75" thickBot="1">
      <c r="A40" s="88" t="s">
        <v>8</v>
      </c>
      <c r="B40" s="929" t="s">
        <v>8</v>
      </c>
      <c r="C40" s="88" t="s">
        <v>8</v>
      </c>
      <c r="D40" s="88" t="s">
        <v>8</v>
      </c>
      <c r="E40" s="89" t="s">
        <v>8</v>
      </c>
      <c r="F40" s="88" t="s">
        <v>8</v>
      </c>
      <c r="G40" s="928" t="s">
        <v>8</v>
      </c>
      <c r="H40" s="88" t="s">
        <v>8</v>
      </c>
      <c r="I40" s="88" t="s">
        <v>8</v>
      </c>
    </row>
    <row r="41" spans="1:9" ht="15.75" thickTop="1">
      <c r="A41" s="88" t="s">
        <v>8</v>
      </c>
      <c r="B41" s="951" t="s">
        <v>8</v>
      </c>
      <c r="C41" s="937" t="s">
        <v>8</v>
      </c>
      <c r="D41" s="942" t="s">
        <v>203</v>
      </c>
      <c r="E41" s="952" t="s">
        <v>8</v>
      </c>
      <c r="F41" s="937" t="s">
        <v>8</v>
      </c>
      <c r="G41" s="953" t="s">
        <v>8</v>
      </c>
      <c r="H41" s="924" t="s">
        <v>8</v>
      </c>
      <c r="I41" s="88" t="s">
        <v>8</v>
      </c>
    </row>
    <row r="42" spans="1:9">
      <c r="A42" s="88" t="s">
        <v>8</v>
      </c>
      <c r="B42" s="938" t="s">
        <v>8</v>
      </c>
      <c r="C42" s="940" t="s">
        <v>8</v>
      </c>
      <c r="D42" s="940" t="s">
        <v>8</v>
      </c>
      <c r="E42" s="944" t="s">
        <v>8</v>
      </c>
      <c r="F42" s="940" t="s">
        <v>8</v>
      </c>
      <c r="G42" s="946" t="s">
        <v>8</v>
      </c>
      <c r="H42" s="932" t="s">
        <v>8</v>
      </c>
      <c r="I42" s="88" t="s">
        <v>8</v>
      </c>
    </row>
    <row r="43" spans="1:9">
      <c r="A43" s="88" t="s">
        <v>8</v>
      </c>
      <c r="B43" s="938" t="s">
        <v>8</v>
      </c>
      <c r="C43" s="940" t="s">
        <v>8</v>
      </c>
      <c r="D43" s="940" t="s">
        <v>8</v>
      </c>
      <c r="E43" s="944" t="s">
        <v>8</v>
      </c>
      <c r="F43" s="940" t="s">
        <v>8</v>
      </c>
      <c r="G43" s="946" t="s">
        <v>8</v>
      </c>
      <c r="H43" s="932" t="s">
        <v>8</v>
      </c>
      <c r="I43" s="88" t="s">
        <v>8</v>
      </c>
    </row>
    <row r="44" spans="1:9" ht="15.75" thickBot="1">
      <c r="A44" s="88" t="s">
        <v>8</v>
      </c>
      <c r="B44" s="939" t="s">
        <v>8</v>
      </c>
      <c r="C44" s="941" t="s">
        <v>8</v>
      </c>
      <c r="D44" s="943" t="s">
        <v>51</v>
      </c>
      <c r="E44" s="945">
        <f>SUM($E$42:$E$43)</f>
        <v>0</v>
      </c>
      <c r="F44" s="941" t="s">
        <v>8</v>
      </c>
      <c r="G44" s="947" t="s">
        <v>8</v>
      </c>
      <c r="H44" s="927" t="s">
        <v>8</v>
      </c>
      <c r="I44" s="88" t="s">
        <v>8</v>
      </c>
    </row>
    <row r="45" spans="1:9" ht="16.5" thickTop="1" thickBot="1">
      <c r="A45" s="88" t="s">
        <v>8</v>
      </c>
      <c r="B45" s="929" t="s">
        <v>8</v>
      </c>
      <c r="C45" s="88" t="s">
        <v>8</v>
      </c>
      <c r="D45" s="88" t="s">
        <v>8</v>
      </c>
      <c r="E45" s="89" t="s">
        <v>8</v>
      </c>
      <c r="F45" s="88" t="s">
        <v>8</v>
      </c>
      <c r="G45" s="928" t="s">
        <v>8</v>
      </c>
      <c r="H45" s="88" t="s">
        <v>8</v>
      </c>
      <c r="I45" s="88" t="s">
        <v>8</v>
      </c>
    </row>
    <row r="46" spans="1:9" ht="15.75" thickTop="1">
      <c r="A46" s="88" t="s">
        <v>8</v>
      </c>
      <c r="B46" s="948" t="s">
        <v>8</v>
      </c>
      <c r="C46" s="923" t="s">
        <v>8</v>
      </c>
      <c r="D46" s="923" t="s">
        <v>8</v>
      </c>
      <c r="E46" s="949" t="s">
        <v>8</v>
      </c>
      <c r="F46" s="923" t="s">
        <v>8</v>
      </c>
      <c r="G46" s="950" t="s">
        <v>8</v>
      </c>
      <c r="H46" s="924" t="s">
        <v>8</v>
      </c>
      <c r="I46" s="88" t="s">
        <v>8</v>
      </c>
    </row>
    <row r="47" spans="1:9">
      <c r="A47" s="88" t="s">
        <v>8</v>
      </c>
      <c r="B47" s="931" t="s">
        <v>8</v>
      </c>
      <c r="C47" s="2052" t="s">
        <v>8</v>
      </c>
      <c r="D47" s="2054" t="s">
        <v>114</v>
      </c>
      <c r="E47" s="2053">
        <f>ABS(E13+$E$22-$E$44+$E$28-$E$38)</f>
        <v>3692166.8600000003</v>
      </c>
      <c r="F47" s="2052" t="s">
        <v>8</v>
      </c>
      <c r="G47" s="2056" t="s">
        <v>8</v>
      </c>
      <c r="H47" s="932" t="s">
        <v>8</v>
      </c>
      <c r="I47" s="88" t="s">
        <v>8</v>
      </c>
    </row>
    <row r="48" spans="1:9">
      <c r="A48" s="88" t="s">
        <v>8</v>
      </c>
      <c r="B48" s="931" t="s">
        <v>8</v>
      </c>
      <c r="C48" s="2052" t="s">
        <v>8</v>
      </c>
      <c r="D48" s="2054" t="s">
        <v>115</v>
      </c>
      <c r="E48" s="2053">
        <v>3692166.86</v>
      </c>
      <c r="F48" s="2052" t="s">
        <v>8</v>
      </c>
      <c r="G48" s="2056" t="s">
        <v>8</v>
      </c>
      <c r="H48" s="932" t="s">
        <v>8</v>
      </c>
      <c r="I48" s="88" t="s">
        <v>116</v>
      </c>
    </row>
    <row r="49" spans="1:9" ht="15.75" thickBot="1">
      <c r="A49" s="88" t="s">
        <v>8</v>
      </c>
      <c r="B49" s="933" t="s">
        <v>8</v>
      </c>
      <c r="C49" s="926" t="s">
        <v>8</v>
      </c>
      <c r="D49" s="934" t="s">
        <v>117</v>
      </c>
      <c r="E49" s="935">
        <f>$E$48-$E$47</f>
        <v>0</v>
      </c>
      <c r="F49" s="926" t="s">
        <v>8</v>
      </c>
      <c r="G49" s="936" t="s">
        <v>8</v>
      </c>
      <c r="H49" s="927" t="s">
        <v>8</v>
      </c>
      <c r="I49" s="88" t="s">
        <v>8</v>
      </c>
    </row>
    <row r="50" spans="1:9" ht="16.5" thickTop="1" thickBot="1">
      <c r="A50" s="88" t="s">
        <v>8</v>
      </c>
      <c r="B50" s="929" t="s">
        <v>8</v>
      </c>
      <c r="C50" s="88" t="s">
        <v>8</v>
      </c>
      <c r="D50" s="88" t="s">
        <v>8</v>
      </c>
      <c r="E50" s="89" t="s">
        <v>8</v>
      </c>
      <c r="F50" s="88" t="s">
        <v>8</v>
      </c>
      <c r="G50" s="928" t="s">
        <v>8</v>
      </c>
      <c r="H50" s="88" t="s">
        <v>8</v>
      </c>
      <c r="I50" s="88" t="s">
        <v>8</v>
      </c>
    </row>
    <row r="51" spans="1:9" ht="15.75" thickTop="1">
      <c r="A51" s="88" t="s">
        <v>8</v>
      </c>
      <c r="B51" s="948" t="s">
        <v>8</v>
      </c>
      <c r="C51" s="923" t="s">
        <v>8</v>
      </c>
      <c r="D51" s="930" t="s">
        <v>118</v>
      </c>
      <c r="E51" s="954" t="s">
        <v>119</v>
      </c>
      <c r="F51" s="930" t="s">
        <v>120</v>
      </c>
      <c r="G51" s="950">
        <v>45981</v>
      </c>
      <c r="H51" s="924" t="s">
        <v>8</v>
      </c>
      <c r="I51" s="88" t="s">
        <v>8</v>
      </c>
    </row>
    <row r="52" spans="1:9">
      <c r="A52" s="88" t="s">
        <v>8</v>
      </c>
      <c r="B52" s="931" t="s">
        <v>8</v>
      </c>
      <c r="C52" s="2052" t="s">
        <v>8</v>
      </c>
      <c r="D52" s="2052" t="s">
        <v>8</v>
      </c>
      <c r="E52" s="2055" t="s">
        <v>8</v>
      </c>
      <c r="F52" s="2052" t="s">
        <v>8</v>
      </c>
      <c r="G52" s="2056" t="s">
        <v>8</v>
      </c>
      <c r="H52" s="932" t="s">
        <v>8</v>
      </c>
      <c r="I52" s="88" t="s">
        <v>8</v>
      </c>
    </row>
    <row r="53" spans="1:9">
      <c r="A53" s="88" t="s">
        <v>8</v>
      </c>
      <c r="B53" s="931" t="s">
        <v>8</v>
      </c>
      <c r="C53" s="2052" t="s">
        <v>8</v>
      </c>
      <c r="D53" s="2052" t="s">
        <v>8</v>
      </c>
      <c r="E53" s="2055" t="s">
        <v>8</v>
      </c>
      <c r="F53" s="2052" t="s">
        <v>8</v>
      </c>
      <c r="G53" s="2056" t="s">
        <v>8</v>
      </c>
      <c r="H53" s="932" t="s">
        <v>8</v>
      </c>
      <c r="I53" s="88" t="s">
        <v>8</v>
      </c>
    </row>
    <row r="54" spans="1:9">
      <c r="A54" s="88" t="s">
        <v>8</v>
      </c>
      <c r="B54" s="931" t="s">
        <v>8</v>
      </c>
      <c r="C54" s="2052" t="s">
        <v>8</v>
      </c>
      <c r="D54" s="2054" t="s">
        <v>121</v>
      </c>
      <c r="E54" s="2053" t="s">
        <v>8</v>
      </c>
      <c r="F54" s="2054" t="s">
        <v>120</v>
      </c>
      <c r="G54" s="2056" t="s">
        <v>8</v>
      </c>
      <c r="H54" s="932" t="s">
        <v>8</v>
      </c>
      <c r="I54" s="88" t="s">
        <v>8</v>
      </c>
    </row>
    <row r="55" spans="1:9">
      <c r="B55" s="180"/>
      <c r="C55" s="1919"/>
      <c r="D55" s="1919"/>
      <c r="E55" s="1919"/>
      <c r="F55" s="1919"/>
      <c r="G55" s="1919"/>
      <c r="H55" s="181"/>
    </row>
    <row r="56" spans="1:9" ht="15.75" thickBot="1">
      <c r="B56" s="182"/>
      <c r="C56" s="183"/>
      <c r="D56" s="183"/>
      <c r="E56" s="183"/>
      <c r="F56" s="183"/>
      <c r="G56" s="183"/>
      <c r="H56" s="184"/>
    </row>
    <row r="57" spans="1:9" ht="15.75" thickTop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topLeftCell="A14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6.5703125" bestFit="1" customWidth="1"/>
    <col min="5" max="5" width="24.5703125" bestFit="1" customWidth="1"/>
    <col min="6" max="6" width="36.855468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3" t="s">
        <v>6</v>
      </c>
      <c r="H1" s="93" t="s">
        <v>7</v>
      </c>
      <c r="I1" s="93" t="s">
        <v>196</v>
      </c>
    </row>
    <row r="2" spans="1:9">
      <c r="A2" s="91" t="s">
        <v>8</v>
      </c>
      <c r="B2" s="91" t="s">
        <v>8</v>
      </c>
      <c r="C2" s="91" t="s">
        <v>8</v>
      </c>
      <c r="D2" s="91" t="s">
        <v>8</v>
      </c>
      <c r="E2" s="91" t="s">
        <v>8</v>
      </c>
      <c r="F2" s="91" t="s">
        <v>8</v>
      </c>
      <c r="G2" s="91" t="s">
        <v>8</v>
      </c>
      <c r="H2" s="91" t="s">
        <v>8</v>
      </c>
      <c r="I2" s="91" t="s">
        <v>8</v>
      </c>
    </row>
    <row r="3" spans="1:9" ht="15.75" thickBot="1">
      <c r="A3" s="91" t="s">
        <v>8</v>
      </c>
      <c r="B3" s="91" t="s">
        <v>8</v>
      </c>
      <c r="C3" s="91" t="s">
        <v>8</v>
      </c>
      <c r="D3" s="91" t="s">
        <v>8</v>
      </c>
      <c r="E3" s="91" t="s">
        <v>8</v>
      </c>
      <c r="F3" s="91" t="s">
        <v>8</v>
      </c>
      <c r="G3" s="91" t="s">
        <v>8</v>
      </c>
      <c r="H3" s="91" t="s">
        <v>8</v>
      </c>
      <c r="I3" s="91" t="s">
        <v>8</v>
      </c>
    </row>
    <row r="4" spans="1:9" ht="16.5" thickTop="1" thickBot="1">
      <c r="A4" s="91" t="s">
        <v>8</v>
      </c>
      <c r="B4" s="91" t="s">
        <v>14</v>
      </c>
      <c r="C4" s="91" t="s">
        <v>8</v>
      </c>
      <c r="D4" s="956" t="s">
        <v>15</v>
      </c>
      <c r="E4" s="91" t="s">
        <v>16</v>
      </c>
      <c r="F4" s="956" t="s">
        <v>218</v>
      </c>
      <c r="G4" s="91" t="s">
        <v>8</v>
      </c>
      <c r="H4" s="91" t="s">
        <v>8</v>
      </c>
      <c r="I4" s="91" t="s">
        <v>8</v>
      </c>
    </row>
    <row r="5" spans="1:9" ht="16.5" thickTop="1" thickBot="1">
      <c r="A5" s="91" t="s">
        <v>8</v>
      </c>
      <c r="B5" s="91" t="s">
        <v>8</v>
      </c>
      <c r="C5" s="91" t="s">
        <v>8</v>
      </c>
      <c r="D5" s="91" t="s">
        <v>8</v>
      </c>
      <c r="E5" s="91" t="s">
        <v>8</v>
      </c>
      <c r="F5" s="91" t="s">
        <v>8</v>
      </c>
      <c r="G5" s="91" t="s">
        <v>8</v>
      </c>
      <c r="H5" s="91" t="s">
        <v>8</v>
      </c>
      <c r="I5" s="91" t="s">
        <v>8</v>
      </c>
    </row>
    <row r="6" spans="1:9" ht="16.5" thickTop="1" thickBot="1">
      <c r="A6" s="91" t="s">
        <v>8</v>
      </c>
      <c r="B6" s="91" t="s">
        <v>18</v>
      </c>
      <c r="C6" s="91" t="s">
        <v>8</v>
      </c>
      <c r="D6" s="956" t="s">
        <v>19</v>
      </c>
      <c r="E6" s="91" t="s">
        <v>20</v>
      </c>
      <c r="F6" s="956" t="s">
        <v>219</v>
      </c>
      <c r="G6" s="91" t="s">
        <v>8</v>
      </c>
      <c r="H6" s="91" t="s">
        <v>8</v>
      </c>
      <c r="I6" s="91" t="s">
        <v>8</v>
      </c>
    </row>
    <row r="7" spans="1:9" ht="16.5" thickTop="1" thickBot="1">
      <c r="A7" s="91" t="s">
        <v>8</v>
      </c>
      <c r="B7" s="91" t="s">
        <v>8</v>
      </c>
      <c r="C7" s="91" t="s">
        <v>8</v>
      </c>
      <c r="D7" s="91" t="s">
        <v>8</v>
      </c>
      <c r="E7" s="91" t="s">
        <v>8</v>
      </c>
      <c r="F7" s="91" t="s">
        <v>8</v>
      </c>
      <c r="G7" s="91" t="s">
        <v>8</v>
      </c>
      <c r="H7" s="91" t="s">
        <v>8</v>
      </c>
      <c r="I7" s="91" t="s">
        <v>8</v>
      </c>
    </row>
    <row r="8" spans="1:9" ht="16.5" thickTop="1" thickBot="1">
      <c r="A8" s="91" t="s">
        <v>8</v>
      </c>
      <c r="B8" s="91" t="s">
        <v>22</v>
      </c>
      <c r="C8" s="91" t="s">
        <v>8</v>
      </c>
      <c r="D8" s="956" t="s">
        <v>11</v>
      </c>
      <c r="E8" s="91" t="s">
        <v>23</v>
      </c>
      <c r="F8" s="956" t="s">
        <v>220</v>
      </c>
      <c r="G8" s="91" t="s">
        <v>8</v>
      </c>
      <c r="H8" s="91" t="s">
        <v>8</v>
      </c>
      <c r="I8" s="91" t="s">
        <v>8</v>
      </c>
    </row>
    <row r="9" spans="1:9" ht="16.5" thickTop="1" thickBot="1">
      <c r="A9" s="91" t="s">
        <v>8</v>
      </c>
      <c r="B9" s="91" t="s">
        <v>8</v>
      </c>
      <c r="C9" s="91" t="s">
        <v>8</v>
      </c>
      <c r="D9" s="91" t="s">
        <v>8</v>
      </c>
      <c r="E9" s="91" t="s">
        <v>8</v>
      </c>
      <c r="F9" s="91" t="s">
        <v>8</v>
      </c>
      <c r="G9" s="91" t="s">
        <v>8</v>
      </c>
      <c r="H9" s="91" t="s">
        <v>8</v>
      </c>
      <c r="I9" s="91" t="s">
        <v>8</v>
      </c>
    </row>
    <row r="10" spans="1:9" ht="16.5" thickTop="1" thickBot="1">
      <c r="A10" s="91" t="s">
        <v>8</v>
      </c>
      <c r="B10" s="91" t="s">
        <v>25</v>
      </c>
      <c r="C10" s="91" t="s">
        <v>8</v>
      </c>
      <c r="D10" s="956" t="s">
        <v>26</v>
      </c>
      <c r="E10" s="91" t="s">
        <v>8</v>
      </c>
      <c r="F10" s="91" t="s">
        <v>8</v>
      </c>
      <c r="G10" s="91" t="s">
        <v>8</v>
      </c>
      <c r="H10" s="91" t="s">
        <v>8</v>
      </c>
      <c r="I10" s="91" t="s">
        <v>8</v>
      </c>
    </row>
    <row r="11" spans="1:9" ht="16.5" thickTop="1" thickBot="1">
      <c r="A11" s="91" t="s">
        <v>8</v>
      </c>
      <c r="B11" s="91" t="s">
        <v>8</v>
      </c>
      <c r="C11" s="91" t="s">
        <v>8</v>
      </c>
      <c r="D11" s="91" t="s">
        <v>8</v>
      </c>
      <c r="E11" s="91" t="s">
        <v>8</v>
      </c>
      <c r="F11" s="91" t="s">
        <v>8</v>
      </c>
      <c r="G11" s="91" t="s">
        <v>8</v>
      </c>
      <c r="H11" s="91" t="s">
        <v>8</v>
      </c>
      <c r="I11" s="91" t="s">
        <v>8</v>
      </c>
    </row>
    <row r="12" spans="1:9" ht="16.5" thickTop="1" thickBot="1">
      <c r="A12" s="91" t="s">
        <v>8</v>
      </c>
      <c r="B12" s="957" t="s">
        <v>8</v>
      </c>
      <c r="C12" s="958" t="s">
        <v>8</v>
      </c>
      <c r="D12" s="958" t="s">
        <v>8</v>
      </c>
      <c r="E12" s="958" t="s">
        <v>8</v>
      </c>
      <c r="F12" s="958" t="s">
        <v>8</v>
      </c>
      <c r="G12" s="958" t="s">
        <v>8</v>
      </c>
      <c r="H12" s="959" t="s">
        <v>8</v>
      </c>
      <c r="I12" s="91" t="s">
        <v>8</v>
      </c>
    </row>
    <row r="13" spans="1:9" ht="16.5" thickTop="1" thickBot="1">
      <c r="A13" s="91" t="s">
        <v>8</v>
      </c>
      <c r="B13" s="960" t="s">
        <v>8</v>
      </c>
      <c r="C13" s="955" t="s">
        <v>11</v>
      </c>
      <c r="D13" s="961" t="s">
        <v>28</v>
      </c>
      <c r="E13" s="970">
        <v>578.25</v>
      </c>
      <c r="F13" s="961" t="s">
        <v>8</v>
      </c>
      <c r="G13" s="961" t="s">
        <v>8</v>
      </c>
      <c r="H13" s="962" t="s">
        <v>8</v>
      </c>
      <c r="I13" s="91" t="s">
        <v>29</v>
      </c>
    </row>
    <row r="14" spans="1:9" ht="16.5" thickTop="1" thickBot="1">
      <c r="A14" s="91" t="s">
        <v>8</v>
      </c>
      <c r="B14" s="91" t="s">
        <v>8</v>
      </c>
      <c r="C14" s="91" t="s">
        <v>8</v>
      </c>
      <c r="D14" s="91" t="s">
        <v>8</v>
      </c>
      <c r="E14" s="91" t="s">
        <v>8</v>
      </c>
      <c r="F14" s="91" t="s">
        <v>8</v>
      </c>
      <c r="G14" s="91" t="s">
        <v>8</v>
      </c>
      <c r="H14" s="91" t="s">
        <v>8</v>
      </c>
      <c r="I14" s="91" t="s">
        <v>8</v>
      </c>
    </row>
    <row r="15" spans="1:9" ht="16.5" thickTop="1" thickBot="1">
      <c r="A15" s="91" t="s">
        <v>8</v>
      </c>
      <c r="B15" s="956" t="s">
        <v>30</v>
      </c>
      <c r="C15" s="955" t="s">
        <v>31</v>
      </c>
      <c r="D15" s="955" t="s">
        <v>32</v>
      </c>
      <c r="E15" s="955" t="s">
        <v>33</v>
      </c>
      <c r="F15" s="955" t="s">
        <v>34</v>
      </c>
      <c r="G15" s="955" t="s">
        <v>35</v>
      </c>
      <c r="H15" s="955" t="s">
        <v>36</v>
      </c>
      <c r="I15" s="91" t="s">
        <v>8</v>
      </c>
    </row>
    <row r="16" spans="1:9" ht="16.5" thickTop="1" thickBot="1">
      <c r="A16" s="91" t="s">
        <v>8</v>
      </c>
      <c r="B16" s="91" t="s">
        <v>8</v>
      </c>
      <c r="C16" s="91" t="s">
        <v>8</v>
      </c>
      <c r="D16" s="91" t="s">
        <v>8</v>
      </c>
      <c r="E16" s="91" t="s">
        <v>8</v>
      </c>
      <c r="F16" s="91" t="s">
        <v>8</v>
      </c>
      <c r="G16" s="91" t="s">
        <v>8</v>
      </c>
      <c r="H16" s="91" t="s">
        <v>8</v>
      </c>
      <c r="I16" s="91" t="s">
        <v>8</v>
      </c>
    </row>
    <row r="17" spans="1:9" ht="15.75" thickTop="1">
      <c r="A17" s="91" t="s">
        <v>8</v>
      </c>
      <c r="B17" s="972" t="s">
        <v>8</v>
      </c>
      <c r="C17" s="972" t="s">
        <v>8</v>
      </c>
      <c r="D17" s="977" t="s">
        <v>200</v>
      </c>
      <c r="E17" s="972" t="s">
        <v>8</v>
      </c>
      <c r="F17" s="972" t="s">
        <v>8</v>
      </c>
      <c r="G17" s="972" t="s">
        <v>8</v>
      </c>
      <c r="H17" s="959" t="s">
        <v>8</v>
      </c>
      <c r="I17" s="91" t="s">
        <v>8</v>
      </c>
    </row>
    <row r="18" spans="1:9">
      <c r="A18" s="91" t="s">
        <v>8</v>
      </c>
      <c r="B18" s="973" t="s">
        <v>8</v>
      </c>
      <c r="C18" s="975" t="s">
        <v>8</v>
      </c>
      <c r="D18" s="975" t="s">
        <v>8</v>
      </c>
      <c r="E18" s="979" t="s">
        <v>8</v>
      </c>
      <c r="F18" s="975" t="s">
        <v>8</v>
      </c>
      <c r="G18" s="981" t="s">
        <v>8</v>
      </c>
      <c r="H18" s="967" t="s">
        <v>8</v>
      </c>
      <c r="I18" s="91" t="s">
        <v>8</v>
      </c>
    </row>
    <row r="19" spans="1:9">
      <c r="A19" s="91" t="s">
        <v>8</v>
      </c>
      <c r="B19" s="973" t="s">
        <v>8</v>
      </c>
      <c r="C19" s="975" t="s">
        <v>8</v>
      </c>
      <c r="D19" s="975" t="s">
        <v>8</v>
      </c>
      <c r="E19" s="979" t="s">
        <v>8</v>
      </c>
      <c r="F19" s="975" t="s">
        <v>8</v>
      </c>
      <c r="G19" s="981" t="s">
        <v>8</v>
      </c>
      <c r="H19" s="967" t="s">
        <v>8</v>
      </c>
      <c r="I19" s="91" t="s">
        <v>8</v>
      </c>
    </row>
    <row r="20" spans="1:9" ht="15.75" thickBot="1">
      <c r="A20" s="91" t="s">
        <v>8</v>
      </c>
      <c r="B20" s="974" t="s">
        <v>8</v>
      </c>
      <c r="C20" s="976" t="s">
        <v>8</v>
      </c>
      <c r="D20" s="978" t="s">
        <v>51</v>
      </c>
      <c r="E20" s="980">
        <f>SUM($E$18:$E$19)</f>
        <v>0</v>
      </c>
      <c r="F20" s="976" t="s">
        <v>8</v>
      </c>
      <c r="G20" s="982" t="s">
        <v>8</v>
      </c>
      <c r="H20" s="962" t="s">
        <v>8</v>
      </c>
      <c r="I20" s="91" t="s">
        <v>8</v>
      </c>
    </row>
    <row r="21" spans="1:9" ht="15.75" thickTop="1">
      <c r="A21" s="91" t="s">
        <v>8</v>
      </c>
      <c r="B21" s="964" t="s">
        <v>8</v>
      </c>
      <c r="C21" s="91" t="s">
        <v>8</v>
      </c>
      <c r="D21" s="91" t="s">
        <v>8</v>
      </c>
      <c r="E21" s="92" t="s">
        <v>8</v>
      </c>
      <c r="F21" s="91" t="s">
        <v>8</v>
      </c>
      <c r="G21" s="963" t="s">
        <v>8</v>
      </c>
      <c r="H21" s="91" t="s">
        <v>8</v>
      </c>
      <c r="I21" s="91" t="s">
        <v>8</v>
      </c>
    </row>
    <row r="22" spans="1:9" ht="15.75" thickBot="1">
      <c r="A22" s="91" t="s">
        <v>8</v>
      </c>
      <c r="B22" s="964" t="s">
        <v>8</v>
      </c>
      <c r="C22" s="91" t="s">
        <v>8</v>
      </c>
      <c r="D22" s="91" t="s">
        <v>8</v>
      </c>
      <c r="E22" s="92" t="s">
        <v>8</v>
      </c>
      <c r="F22" s="91" t="s">
        <v>8</v>
      </c>
      <c r="G22" s="963" t="s">
        <v>8</v>
      </c>
      <c r="H22" s="91" t="s">
        <v>8</v>
      </c>
      <c r="I22" s="91" t="s">
        <v>8</v>
      </c>
    </row>
    <row r="23" spans="1:9" ht="15.75" thickTop="1">
      <c r="A23" s="91" t="s">
        <v>8</v>
      </c>
      <c r="B23" s="986" t="s">
        <v>8</v>
      </c>
      <c r="C23" s="972" t="s">
        <v>8</v>
      </c>
      <c r="D23" s="977" t="s">
        <v>201</v>
      </c>
      <c r="E23" s="987" t="s">
        <v>8</v>
      </c>
      <c r="F23" s="972" t="s">
        <v>8</v>
      </c>
      <c r="G23" s="988" t="s">
        <v>8</v>
      </c>
      <c r="H23" s="959" t="s">
        <v>8</v>
      </c>
      <c r="I23" s="91" t="s">
        <v>8</v>
      </c>
    </row>
    <row r="24" spans="1:9">
      <c r="A24" s="91" t="s">
        <v>8</v>
      </c>
      <c r="B24" s="973" t="s">
        <v>8</v>
      </c>
      <c r="C24" s="975" t="s">
        <v>8</v>
      </c>
      <c r="D24" s="975" t="s">
        <v>8</v>
      </c>
      <c r="E24" s="979" t="s">
        <v>8</v>
      </c>
      <c r="F24" s="975" t="s">
        <v>8</v>
      </c>
      <c r="G24" s="981" t="s">
        <v>8</v>
      </c>
      <c r="H24" s="967" t="s">
        <v>8</v>
      </c>
      <c r="I24" s="91" t="s">
        <v>8</v>
      </c>
    </row>
    <row r="25" spans="1:9">
      <c r="A25" s="91" t="s">
        <v>8</v>
      </c>
      <c r="B25" s="973" t="s">
        <v>8</v>
      </c>
      <c r="C25" s="975" t="s">
        <v>8</v>
      </c>
      <c r="D25" s="975" t="s">
        <v>8</v>
      </c>
      <c r="E25" s="979" t="s">
        <v>8</v>
      </c>
      <c r="F25" s="975" t="s">
        <v>8</v>
      </c>
      <c r="G25" s="981" t="s">
        <v>8</v>
      </c>
      <c r="H25" s="967" t="s">
        <v>8</v>
      </c>
      <c r="I25" s="91" t="s">
        <v>8</v>
      </c>
    </row>
    <row r="26" spans="1:9" ht="15.75" thickBot="1">
      <c r="A26" s="91" t="s">
        <v>8</v>
      </c>
      <c r="B26" s="974" t="s">
        <v>8</v>
      </c>
      <c r="C26" s="976" t="s">
        <v>8</v>
      </c>
      <c r="D26" s="978" t="s">
        <v>51</v>
      </c>
      <c r="E26" s="980">
        <f>SUM($E$24:$E$25)</f>
        <v>0</v>
      </c>
      <c r="F26" s="976" t="s">
        <v>8</v>
      </c>
      <c r="G26" s="982" t="s">
        <v>8</v>
      </c>
      <c r="H26" s="962" t="s">
        <v>8</v>
      </c>
      <c r="I26" s="91" t="s">
        <v>8</v>
      </c>
    </row>
    <row r="27" spans="1:9" ht="15.75" thickTop="1">
      <c r="A27" s="91" t="s">
        <v>8</v>
      </c>
      <c r="B27" s="964" t="s">
        <v>8</v>
      </c>
      <c r="C27" s="91" t="s">
        <v>8</v>
      </c>
      <c r="D27" s="91" t="s">
        <v>8</v>
      </c>
      <c r="E27" s="92" t="s">
        <v>8</v>
      </c>
      <c r="F27" s="91" t="s">
        <v>8</v>
      </c>
      <c r="G27" s="963" t="s">
        <v>8</v>
      </c>
      <c r="H27" s="91" t="s">
        <v>8</v>
      </c>
      <c r="I27" s="91" t="s">
        <v>8</v>
      </c>
    </row>
    <row r="28" spans="1:9" ht="15.75" thickBot="1">
      <c r="A28" s="91" t="s">
        <v>8</v>
      </c>
      <c r="B28" s="964" t="s">
        <v>8</v>
      </c>
      <c r="C28" s="91" t="s">
        <v>8</v>
      </c>
      <c r="D28" s="91" t="s">
        <v>8</v>
      </c>
      <c r="E28" s="92" t="s">
        <v>8</v>
      </c>
      <c r="F28" s="91" t="s">
        <v>8</v>
      </c>
      <c r="G28" s="963" t="s">
        <v>8</v>
      </c>
      <c r="H28" s="91" t="s">
        <v>8</v>
      </c>
      <c r="I28" s="91" t="s">
        <v>8</v>
      </c>
    </row>
    <row r="29" spans="1:9" ht="15.75" thickTop="1">
      <c r="A29" s="91" t="s">
        <v>8</v>
      </c>
      <c r="B29" s="986" t="s">
        <v>8</v>
      </c>
      <c r="C29" s="972" t="s">
        <v>8</v>
      </c>
      <c r="D29" s="977" t="s">
        <v>202</v>
      </c>
      <c r="E29" s="987" t="s">
        <v>8</v>
      </c>
      <c r="F29" s="972" t="s">
        <v>8</v>
      </c>
      <c r="G29" s="988" t="s">
        <v>8</v>
      </c>
      <c r="H29" s="959" t="s">
        <v>8</v>
      </c>
      <c r="I29" s="91" t="s">
        <v>8</v>
      </c>
    </row>
    <row r="30" spans="1:9">
      <c r="A30" s="91" t="s">
        <v>8</v>
      </c>
      <c r="B30" s="973">
        <v>1</v>
      </c>
      <c r="C30" s="975" t="s">
        <v>221</v>
      </c>
      <c r="D30" s="975" t="s">
        <v>222</v>
      </c>
      <c r="E30" s="979">
        <v>68.489999999999995</v>
      </c>
      <c r="F30" s="975" t="s">
        <v>222</v>
      </c>
      <c r="G30" s="981">
        <v>13</v>
      </c>
      <c r="H30" s="967" t="s">
        <v>88</v>
      </c>
      <c r="I30" s="91" t="s">
        <v>8</v>
      </c>
    </row>
    <row r="31" spans="1:9">
      <c r="A31" s="91" t="s">
        <v>8</v>
      </c>
      <c r="B31" s="973" t="s">
        <v>8</v>
      </c>
      <c r="C31" s="975" t="s">
        <v>8</v>
      </c>
      <c r="D31" s="975" t="s">
        <v>8</v>
      </c>
      <c r="E31" s="979" t="s">
        <v>8</v>
      </c>
      <c r="F31" s="975" t="s">
        <v>8</v>
      </c>
      <c r="G31" s="981" t="s">
        <v>8</v>
      </c>
      <c r="H31" s="967" t="s">
        <v>8</v>
      </c>
      <c r="I31" s="91" t="s">
        <v>8</v>
      </c>
    </row>
    <row r="32" spans="1:9" ht="15.75" thickBot="1">
      <c r="A32" s="91" t="s">
        <v>8</v>
      </c>
      <c r="B32" s="974" t="s">
        <v>8</v>
      </c>
      <c r="C32" s="976" t="s">
        <v>8</v>
      </c>
      <c r="D32" s="978" t="s">
        <v>51</v>
      </c>
      <c r="E32" s="980">
        <f>SUM($E$30:$E$31)</f>
        <v>68.489999999999995</v>
      </c>
      <c r="F32" s="976" t="s">
        <v>8</v>
      </c>
      <c r="G32" s="982" t="s">
        <v>8</v>
      </c>
      <c r="H32" s="962" t="s">
        <v>8</v>
      </c>
      <c r="I32" s="91" t="s">
        <v>8</v>
      </c>
    </row>
    <row r="33" spans="1:9" ht="15.75" thickTop="1">
      <c r="A33" s="91" t="s">
        <v>8</v>
      </c>
      <c r="B33" s="964" t="s">
        <v>8</v>
      </c>
      <c r="C33" s="91" t="s">
        <v>8</v>
      </c>
      <c r="D33" s="91" t="s">
        <v>8</v>
      </c>
      <c r="E33" s="92" t="s">
        <v>8</v>
      </c>
      <c r="F33" s="91" t="s">
        <v>8</v>
      </c>
      <c r="G33" s="963" t="s">
        <v>8</v>
      </c>
      <c r="H33" s="91" t="s">
        <v>8</v>
      </c>
      <c r="I33" s="91" t="s">
        <v>8</v>
      </c>
    </row>
    <row r="34" spans="1:9" ht="15.75" thickBot="1">
      <c r="A34" s="91" t="s">
        <v>8</v>
      </c>
      <c r="B34" s="964" t="s">
        <v>8</v>
      </c>
      <c r="C34" s="91" t="s">
        <v>8</v>
      </c>
      <c r="D34" s="91" t="s">
        <v>8</v>
      </c>
      <c r="E34" s="92" t="s">
        <v>8</v>
      </c>
      <c r="F34" s="91" t="s">
        <v>8</v>
      </c>
      <c r="G34" s="963" t="s">
        <v>8</v>
      </c>
      <c r="H34" s="91" t="s">
        <v>8</v>
      </c>
      <c r="I34" s="91" t="s">
        <v>8</v>
      </c>
    </row>
    <row r="35" spans="1:9" ht="15.75" thickTop="1">
      <c r="A35" s="91" t="s">
        <v>8</v>
      </c>
      <c r="B35" s="986" t="s">
        <v>8</v>
      </c>
      <c r="C35" s="972" t="s">
        <v>8</v>
      </c>
      <c r="D35" s="977" t="s">
        <v>203</v>
      </c>
      <c r="E35" s="987" t="s">
        <v>8</v>
      </c>
      <c r="F35" s="972" t="s">
        <v>8</v>
      </c>
      <c r="G35" s="988" t="s">
        <v>8</v>
      </c>
      <c r="H35" s="959" t="s">
        <v>8</v>
      </c>
      <c r="I35" s="91" t="s">
        <v>8</v>
      </c>
    </row>
    <row r="36" spans="1:9">
      <c r="A36" s="91" t="s">
        <v>8</v>
      </c>
      <c r="B36" s="973" t="s">
        <v>8</v>
      </c>
      <c r="C36" s="975" t="s">
        <v>8</v>
      </c>
      <c r="D36" s="975" t="s">
        <v>8</v>
      </c>
      <c r="E36" s="979" t="s">
        <v>8</v>
      </c>
      <c r="F36" s="975" t="s">
        <v>8</v>
      </c>
      <c r="G36" s="981" t="s">
        <v>8</v>
      </c>
      <c r="H36" s="967" t="s">
        <v>8</v>
      </c>
      <c r="I36" s="91" t="s">
        <v>8</v>
      </c>
    </row>
    <row r="37" spans="1:9">
      <c r="A37" s="91" t="s">
        <v>8</v>
      </c>
      <c r="B37" s="973" t="s">
        <v>8</v>
      </c>
      <c r="C37" s="975" t="s">
        <v>8</v>
      </c>
      <c r="D37" s="975" t="s">
        <v>8</v>
      </c>
      <c r="E37" s="979" t="s">
        <v>8</v>
      </c>
      <c r="F37" s="975" t="s">
        <v>8</v>
      </c>
      <c r="G37" s="981" t="s">
        <v>8</v>
      </c>
      <c r="H37" s="967" t="s">
        <v>8</v>
      </c>
      <c r="I37" s="91" t="s">
        <v>8</v>
      </c>
    </row>
    <row r="38" spans="1:9" ht="15.75" thickBot="1">
      <c r="A38" s="91" t="s">
        <v>8</v>
      </c>
      <c r="B38" s="974" t="s">
        <v>8</v>
      </c>
      <c r="C38" s="976" t="s">
        <v>8</v>
      </c>
      <c r="D38" s="978" t="s">
        <v>51</v>
      </c>
      <c r="E38" s="980">
        <f>SUM($E$36:$E$37)</f>
        <v>0</v>
      </c>
      <c r="F38" s="976" t="s">
        <v>8</v>
      </c>
      <c r="G38" s="982" t="s">
        <v>8</v>
      </c>
      <c r="H38" s="962" t="s">
        <v>8</v>
      </c>
      <c r="I38" s="91" t="s">
        <v>8</v>
      </c>
    </row>
    <row r="39" spans="1:9" ht="16.5" thickTop="1" thickBot="1">
      <c r="A39" s="91" t="s">
        <v>8</v>
      </c>
      <c r="B39" s="964" t="s">
        <v>8</v>
      </c>
      <c r="C39" s="91" t="s">
        <v>8</v>
      </c>
      <c r="D39" s="91" t="s">
        <v>8</v>
      </c>
      <c r="E39" s="92" t="s">
        <v>8</v>
      </c>
      <c r="F39" s="91" t="s">
        <v>8</v>
      </c>
      <c r="G39" s="963" t="s">
        <v>8</v>
      </c>
      <c r="H39" s="91" t="s">
        <v>8</v>
      </c>
      <c r="I39" s="91" t="s">
        <v>8</v>
      </c>
    </row>
    <row r="40" spans="1:9" ht="15.75" thickTop="1">
      <c r="A40" s="91" t="s">
        <v>8</v>
      </c>
      <c r="B40" s="983" t="s">
        <v>8</v>
      </c>
      <c r="C40" s="958" t="s">
        <v>8</v>
      </c>
      <c r="D40" s="958" t="s">
        <v>8</v>
      </c>
      <c r="E40" s="984" t="s">
        <v>8</v>
      </c>
      <c r="F40" s="958" t="s">
        <v>8</v>
      </c>
      <c r="G40" s="985" t="s">
        <v>8</v>
      </c>
      <c r="H40" s="959" t="s">
        <v>8</v>
      </c>
      <c r="I40" s="91" t="s">
        <v>8</v>
      </c>
    </row>
    <row r="41" spans="1:9">
      <c r="A41" s="91" t="s">
        <v>8</v>
      </c>
      <c r="B41" s="966" t="s">
        <v>8</v>
      </c>
      <c r="C41" s="2057" t="s">
        <v>8</v>
      </c>
      <c r="D41" s="2059" t="s">
        <v>114</v>
      </c>
      <c r="E41" s="2058">
        <f>ABS(E13+$E$20-$E$38+$E$26-$E$32)</f>
        <v>509.76</v>
      </c>
      <c r="F41" s="2057" t="s">
        <v>8</v>
      </c>
      <c r="G41" s="2061" t="s">
        <v>8</v>
      </c>
      <c r="H41" s="967" t="s">
        <v>8</v>
      </c>
      <c r="I41" s="91" t="s">
        <v>8</v>
      </c>
    </row>
    <row r="42" spans="1:9">
      <c r="A42" s="91" t="s">
        <v>8</v>
      </c>
      <c r="B42" s="966" t="s">
        <v>8</v>
      </c>
      <c r="C42" s="2057" t="s">
        <v>8</v>
      </c>
      <c r="D42" s="2059" t="s">
        <v>115</v>
      </c>
      <c r="E42" s="2058">
        <v>509.76</v>
      </c>
      <c r="F42" s="2057" t="s">
        <v>8</v>
      </c>
      <c r="G42" s="2061" t="s">
        <v>8</v>
      </c>
      <c r="H42" s="967" t="s">
        <v>8</v>
      </c>
      <c r="I42" s="91" t="s">
        <v>29</v>
      </c>
    </row>
    <row r="43" spans="1:9" ht="15.75" thickBot="1">
      <c r="A43" s="91" t="s">
        <v>8</v>
      </c>
      <c r="B43" s="968" t="s">
        <v>8</v>
      </c>
      <c r="C43" s="961" t="s">
        <v>8</v>
      </c>
      <c r="D43" s="969" t="s">
        <v>117</v>
      </c>
      <c r="E43" s="970">
        <f>$E$42-$E$41</f>
        <v>0</v>
      </c>
      <c r="F43" s="961" t="s">
        <v>8</v>
      </c>
      <c r="G43" s="971" t="s">
        <v>8</v>
      </c>
      <c r="H43" s="962" t="s">
        <v>8</v>
      </c>
      <c r="I43" s="91" t="s">
        <v>8</v>
      </c>
    </row>
    <row r="44" spans="1:9" ht="16.5" thickTop="1" thickBot="1">
      <c r="A44" s="91" t="s">
        <v>8</v>
      </c>
      <c r="B44" s="964" t="s">
        <v>8</v>
      </c>
      <c r="C44" s="91" t="s">
        <v>8</v>
      </c>
      <c r="D44" s="91" t="s">
        <v>8</v>
      </c>
      <c r="E44" s="92" t="s">
        <v>8</v>
      </c>
      <c r="F44" s="91" t="s">
        <v>8</v>
      </c>
      <c r="G44" s="963" t="s">
        <v>8</v>
      </c>
      <c r="H44" s="91" t="s">
        <v>8</v>
      </c>
      <c r="I44" s="91" t="s">
        <v>8</v>
      </c>
    </row>
    <row r="45" spans="1:9" ht="15.75" thickTop="1">
      <c r="A45" s="91" t="s">
        <v>8</v>
      </c>
      <c r="B45" s="983" t="s">
        <v>8</v>
      </c>
      <c r="C45" s="958" t="s">
        <v>8</v>
      </c>
      <c r="D45" s="965" t="s">
        <v>118</v>
      </c>
      <c r="E45" s="989" t="s">
        <v>119</v>
      </c>
      <c r="F45" s="965" t="s">
        <v>120</v>
      </c>
      <c r="G45" s="985">
        <v>45981</v>
      </c>
      <c r="H45" s="959" t="s">
        <v>8</v>
      </c>
      <c r="I45" s="91" t="s">
        <v>8</v>
      </c>
    </row>
    <row r="46" spans="1:9">
      <c r="A46" s="91" t="s">
        <v>8</v>
      </c>
      <c r="B46" s="966" t="s">
        <v>8</v>
      </c>
      <c r="C46" s="2057" t="s">
        <v>8</v>
      </c>
      <c r="D46" s="2057" t="s">
        <v>8</v>
      </c>
      <c r="E46" s="2060" t="s">
        <v>8</v>
      </c>
      <c r="F46" s="2057" t="s">
        <v>8</v>
      </c>
      <c r="G46" s="2061" t="s">
        <v>8</v>
      </c>
      <c r="H46" s="967" t="s">
        <v>8</v>
      </c>
      <c r="I46" s="91" t="s">
        <v>8</v>
      </c>
    </row>
    <row r="47" spans="1:9">
      <c r="A47" s="91" t="s">
        <v>8</v>
      </c>
      <c r="B47" s="966" t="s">
        <v>8</v>
      </c>
      <c r="C47" s="2057" t="s">
        <v>8</v>
      </c>
      <c r="D47" s="2057" t="s">
        <v>8</v>
      </c>
      <c r="E47" s="2060" t="s">
        <v>8</v>
      </c>
      <c r="F47" s="2057" t="s">
        <v>8</v>
      </c>
      <c r="G47" s="2061" t="s">
        <v>8</v>
      </c>
      <c r="H47" s="967" t="s">
        <v>8</v>
      </c>
      <c r="I47" s="91" t="s">
        <v>8</v>
      </c>
    </row>
    <row r="48" spans="1:9">
      <c r="A48" s="91" t="s">
        <v>8</v>
      </c>
      <c r="B48" s="966" t="s">
        <v>8</v>
      </c>
      <c r="C48" s="2057" t="s">
        <v>8</v>
      </c>
      <c r="D48" s="2059" t="s">
        <v>121</v>
      </c>
      <c r="E48" s="2058" t="s">
        <v>8</v>
      </c>
      <c r="F48" s="2059" t="s">
        <v>120</v>
      </c>
      <c r="G48" s="2061" t="s">
        <v>8</v>
      </c>
      <c r="H48" s="967" t="s">
        <v>8</v>
      </c>
      <c r="I48" s="91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3" bestFit="1" customWidth="1"/>
    <col min="5" max="5" width="24.5703125" bestFit="1" customWidth="1"/>
    <col min="6" max="6" width="28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196</v>
      </c>
    </row>
    <row r="2" spans="1:9">
      <c r="A2" s="94" t="s">
        <v>8</v>
      </c>
      <c r="B2" s="94" t="s">
        <v>8</v>
      </c>
      <c r="C2" s="94" t="s">
        <v>8</v>
      </c>
      <c r="D2" s="94" t="s">
        <v>8</v>
      </c>
      <c r="E2" s="94" t="s">
        <v>8</v>
      </c>
      <c r="F2" s="94" t="s">
        <v>8</v>
      </c>
      <c r="G2" s="94" t="s">
        <v>8</v>
      </c>
      <c r="H2" s="94" t="s">
        <v>8</v>
      </c>
      <c r="I2" s="94" t="s">
        <v>8</v>
      </c>
    </row>
    <row r="3" spans="1:9" ht="15.75" thickBot="1">
      <c r="A3" s="94" t="s">
        <v>8</v>
      </c>
      <c r="B3" s="94" t="s">
        <v>8</v>
      </c>
      <c r="C3" s="94" t="s">
        <v>8</v>
      </c>
      <c r="D3" s="94" t="s">
        <v>8</v>
      </c>
      <c r="E3" s="94" t="s">
        <v>8</v>
      </c>
      <c r="F3" s="94" t="s">
        <v>8</v>
      </c>
      <c r="G3" s="94" t="s">
        <v>8</v>
      </c>
      <c r="H3" s="94" t="s">
        <v>8</v>
      </c>
      <c r="I3" s="94" t="s">
        <v>8</v>
      </c>
    </row>
    <row r="4" spans="1:9" ht="16.5" thickTop="1" thickBot="1">
      <c r="A4" s="94" t="s">
        <v>8</v>
      </c>
      <c r="B4" s="94" t="s">
        <v>14</v>
      </c>
      <c r="C4" s="94" t="s">
        <v>8</v>
      </c>
      <c r="D4" s="991" t="s">
        <v>15</v>
      </c>
      <c r="E4" s="94" t="s">
        <v>16</v>
      </c>
      <c r="F4" s="991" t="s">
        <v>223</v>
      </c>
      <c r="G4" s="94" t="s">
        <v>8</v>
      </c>
      <c r="H4" s="94" t="s">
        <v>8</v>
      </c>
      <c r="I4" s="94" t="s">
        <v>8</v>
      </c>
    </row>
    <row r="5" spans="1:9" ht="16.5" thickTop="1" thickBot="1">
      <c r="A5" s="94" t="s">
        <v>8</v>
      </c>
      <c r="B5" s="94" t="s">
        <v>8</v>
      </c>
      <c r="C5" s="94" t="s">
        <v>8</v>
      </c>
      <c r="D5" s="94" t="s">
        <v>8</v>
      </c>
      <c r="E5" s="94" t="s">
        <v>8</v>
      </c>
      <c r="F5" s="94" t="s">
        <v>8</v>
      </c>
      <c r="G5" s="94" t="s">
        <v>8</v>
      </c>
      <c r="H5" s="94" t="s">
        <v>8</v>
      </c>
      <c r="I5" s="94" t="s">
        <v>8</v>
      </c>
    </row>
    <row r="6" spans="1:9" ht="16.5" thickTop="1" thickBot="1">
      <c r="A6" s="94" t="s">
        <v>8</v>
      </c>
      <c r="B6" s="94" t="s">
        <v>18</v>
      </c>
      <c r="C6" s="94" t="s">
        <v>8</v>
      </c>
      <c r="D6" s="991" t="s">
        <v>19</v>
      </c>
      <c r="E6" s="94" t="s">
        <v>20</v>
      </c>
      <c r="F6" s="991" t="s">
        <v>224</v>
      </c>
      <c r="G6" s="94" t="s">
        <v>8</v>
      </c>
      <c r="H6" s="94" t="s">
        <v>8</v>
      </c>
      <c r="I6" s="94" t="s">
        <v>8</v>
      </c>
    </row>
    <row r="7" spans="1:9" ht="16.5" thickTop="1" thickBot="1">
      <c r="A7" s="94" t="s">
        <v>8</v>
      </c>
      <c r="B7" s="94" t="s">
        <v>8</v>
      </c>
      <c r="C7" s="94" t="s">
        <v>8</v>
      </c>
      <c r="D7" s="94" t="s">
        <v>8</v>
      </c>
      <c r="E7" s="94" t="s">
        <v>8</v>
      </c>
      <c r="F7" s="94" t="s">
        <v>8</v>
      </c>
      <c r="G7" s="94" t="s">
        <v>8</v>
      </c>
      <c r="H7" s="94" t="s">
        <v>8</v>
      </c>
      <c r="I7" s="94" t="s">
        <v>8</v>
      </c>
    </row>
    <row r="8" spans="1:9" ht="16.5" thickTop="1" thickBot="1">
      <c r="A8" s="94" t="s">
        <v>8</v>
      </c>
      <c r="B8" s="94" t="s">
        <v>22</v>
      </c>
      <c r="C8" s="94" t="s">
        <v>8</v>
      </c>
      <c r="D8" s="991" t="s">
        <v>11</v>
      </c>
      <c r="E8" s="94" t="s">
        <v>23</v>
      </c>
      <c r="F8" s="991" t="s">
        <v>225</v>
      </c>
      <c r="G8" s="94" t="s">
        <v>8</v>
      </c>
      <c r="H8" s="94" t="s">
        <v>8</v>
      </c>
      <c r="I8" s="94" t="s">
        <v>8</v>
      </c>
    </row>
    <row r="9" spans="1:9" ht="16.5" thickTop="1" thickBot="1">
      <c r="A9" s="94" t="s">
        <v>8</v>
      </c>
      <c r="B9" s="94" t="s">
        <v>8</v>
      </c>
      <c r="C9" s="94" t="s">
        <v>8</v>
      </c>
      <c r="D9" s="94" t="s">
        <v>8</v>
      </c>
      <c r="E9" s="94" t="s">
        <v>8</v>
      </c>
      <c r="F9" s="94" t="s">
        <v>8</v>
      </c>
      <c r="G9" s="94" t="s">
        <v>8</v>
      </c>
      <c r="H9" s="94" t="s">
        <v>8</v>
      </c>
      <c r="I9" s="94" t="s">
        <v>8</v>
      </c>
    </row>
    <row r="10" spans="1:9" ht="16.5" thickTop="1" thickBot="1">
      <c r="A10" s="94" t="s">
        <v>8</v>
      </c>
      <c r="B10" s="94" t="s">
        <v>25</v>
      </c>
      <c r="C10" s="94" t="s">
        <v>8</v>
      </c>
      <c r="D10" s="991" t="s">
        <v>26</v>
      </c>
      <c r="E10" s="94" t="s">
        <v>8</v>
      </c>
      <c r="F10" s="94" t="s">
        <v>8</v>
      </c>
      <c r="G10" s="94" t="s">
        <v>8</v>
      </c>
      <c r="H10" s="94" t="s">
        <v>8</v>
      </c>
      <c r="I10" s="94" t="s">
        <v>8</v>
      </c>
    </row>
    <row r="11" spans="1:9" ht="16.5" thickTop="1" thickBot="1">
      <c r="A11" s="94" t="s">
        <v>8</v>
      </c>
      <c r="B11" s="94" t="s">
        <v>8</v>
      </c>
      <c r="C11" s="94" t="s">
        <v>8</v>
      </c>
      <c r="D11" s="94" t="s">
        <v>8</v>
      </c>
      <c r="E11" s="94" t="s">
        <v>8</v>
      </c>
      <c r="F11" s="94" t="s">
        <v>8</v>
      </c>
      <c r="G11" s="94" t="s">
        <v>8</v>
      </c>
      <c r="H11" s="94" t="s">
        <v>8</v>
      </c>
      <c r="I11" s="94" t="s">
        <v>8</v>
      </c>
    </row>
    <row r="12" spans="1:9" ht="16.5" thickTop="1" thickBot="1">
      <c r="A12" s="94" t="s">
        <v>8</v>
      </c>
      <c r="B12" s="992" t="s">
        <v>8</v>
      </c>
      <c r="C12" s="993" t="s">
        <v>8</v>
      </c>
      <c r="D12" s="993" t="s">
        <v>8</v>
      </c>
      <c r="E12" s="993" t="s">
        <v>8</v>
      </c>
      <c r="F12" s="993" t="s">
        <v>8</v>
      </c>
      <c r="G12" s="993" t="s">
        <v>8</v>
      </c>
      <c r="H12" s="994" t="s">
        <v>8</v>
      </c>
      <c r="I12" s="94" t="s">
        <v>8</v>
      </c>
    </row>
    <row r="13" spans="1:9" ht="16.5" thickTop="1" thickBot="1">
      <c r="A13" s="94" t="s">
        <v>8</v>
      </c>
      <c r="B13" s="995" t="s">
        <v>8</v>
      </c>
      <c r="C13" s="990" t="s">
        <v>11</v>
      </c>
      <c r="D13" s="996" t="s">
        <v>28</v>
      </c>
      <c r="E13" s="1005">
        <v>0.82</v>
      </c>
      <c r="F13" s="996" t="s">
        <v>8</v>
      </c>
      <c r="G13" s="996" t="s">
        <v>8</v>
      </c>
      <c r="H13" s="997" t="s">
        <v>8</v>
      </c>
      <c r="I13" s="94" t="s">
        <v>29</v>
      </c>
    </row>
    <row r="14" spans="1:9" ht="16.5" thickTop="1" thickBot="1">
      <c r="A14" s="94" t="s">
        <v>8</v>
      </c>
      <c r="B14" s="94" t="s">
        <v>8</v>
      </c>
      <c r="C14" s="94" t="s">
        <v>8</v>
      </c>
      <c r="D14" s="94" t="s">
        <v>8</v>
      </c>
      <c r="E14" s="94" t="s">
        <v>8</v>
      </c>
      <c r="F14" s="94" t="s">
        <v>8</v>
      </c>
      <c r="G14" s="94" t="s">
        <v>8</v>
      </c>
      <c r="H14" s="94" t="s">
        <v>8</v>
      </c>
      <c r="I14" s="94" t="s">
        <v>8</v>
      </c>
    </row>
    <row r="15" spans="1:9" ht="16.5" thickTop="1" thickBot="1">
      <c r="A15" s="94" t="s">
        <v>8</v>
      </c>
      <c r="B15" s="991" t="s">
        <v>30</v>
      </c>
      <c r="C15" s="990" t="s">
        <v>31</v>
      </c>
      <c r="D15" s="990" t="s">
        <v>32</v>
      </c>
      <c r="E15" s="990" t="s">
        <v>33</v>
      </c>
      <c r="F15" s="990" t="s">
        <v>34</v>
      </c>
      <c r="G15" s="990" t="s">
        <v>35</v>
      </c>
      <c r="H15" s="990" t="s">
        <v>36</v>
      </c>
      <c r="I15" s="94" t="s">
        <v>8</v>
      </c>
    </row>
    <row r="16" spans="1:9" ht="16.5" thickTop="1" thickBot="1">
      <c r="A16" s="94" t="s">
        <v>8</v>
      </c>
      <c r="B16" s="94" t="s">
        <v>8</v>
      </c>
      <c r="C16" s="94" t="s">
        <v>8</v>
      </c>
      <c r="D16" s="94" t="s">
        <v>8</v>
      </c>
      <c r="E16" s="94" t="s">
        <v>8</v>
      </c>
      <c r="F16" s="94" t="s">
        <v>8</v>
      </c>
      <c r="G16" s="94" t="s">
        <v>8</v>
      </c>
      <c r="H16" s="94" t="s">
        <v>8</v>
      </c>
      <c r="I16" s="94" t="s">
        <v>8</v>
      </c>
    </row>
    <row r="17" spans="1:9" ht="15.75" thickTop="1">
      <c r="A17" s="94" t="s">
        <v>8</v>
      </c>
      <c r="B17" s="1007" t="s">
        <v>8</v>
      </c>
      <c r="C17" s="1007" t="s">
        <v>8</v>
      </c>
      <c r="D17" s="1012" t="s">
        <v>226</v>
      </c>
      <c r="E17" s="1007" t="s">
        <v>8</v>
      </c>
      <c r="F17" s="1007" t="s">
        <v>8</v>
      </c>
      <c r="G17" s="1007" t="s">
        <v>8</v>
      </c>
      <c r="H17" s="994" t="s">
        <v>8</v>
      </c>
      <c r="I17" s="94" t="s">
        <v>8</v>
      </c>
    </row>
    <row r="18" spans="1:9">
      <c r="A18" s="94" t="s">
        <v>8</v>
      </c>
      <c r="B18" s="1008" t="s">
        <v>8</v>
      </c>
      <c r="C18" s="1010" t="s">
        <v>8</v>
      </c>
      <c r="D18" s="1010" t="s">
        <v>8</v>
      </c>
      <c r="E18" s="1014" t="s">
        <v>8</v>
      </c>
      <c r="F18" s="1010" t="s">
        <v>8</v>
      </c>
      <c r="G18" s="1016" t="s">
        <v>8</v>
      </c>
      <c r="H18" s="1002" t="s">
        <v>8</v>
      </c>
      <c r="I18" s="94" t="s">
        <v>8</v>
      </c>
    </row>
    <row r="19" spans="1:9">
      <c r="A19" s="94" t="s">
        <v>8</v>
      </c>
      <c r="B19" s="1008" t="s">
        <v>8</v>
      </c>
      <c r="C19" s="1010" t="s">
        <v>8</v>
      </c>
      <c r="D19" s="1010" t="s">
        <v>8</v>
      </c>
      <c r="E19" s="1014" t="s">
        <v>8</v>
      </c>
      <c r="F19" s="1010" t="s">
        <v>8</v>
      </c>
      <c r="G19" s="1016" t="s">
        <v>8</v>
      </c>
      <c r="H19" s="1002" t="s">
        <v>8</v>
      </c>
      <c r="I19" s="94" t="s">
        <v>8</v>
      </c>
    </row>
    <row r="20" spans="1:9" ht="15.75" thickBot="1">
      <c r="A20" s="94" t="s">
        <v>8</v>
      </c>
      <c r="B20" s="1009" t="s">
        <v>8</v>
      </c>
      <c r="C20" s="1011" t="s">
        <v>8</v>
      </c>
      <c r="D20" s="1013" t="s">
        <v>51</v>
      </c>
      <c r="E20" s="1015">
        <f>SUM($E$18:$E$19)</f>
        <v>0</v>
      </c>
      <c r="F20" s="1011" t="s">
        <v>8</v>
      </c>
      <c r="G20" s="1017" t="s">
        <v>8</v>
      </c>
      <c r="H20" s="997" t="s">
        <v>8</v>
      </c>
      <c r="I20" s="94" t="s">
        <v>8</v>
      </c>
    </row>
    <row r="21" spans="1:9" ht="15.75" thickTop="1">
      <c r="A21" s="94" t="s">
        <v>8</v>
      </c>
      <c r="B21" s="999" t="s">
        <v>8</v>
      </c>
      <c r="C21" s="94" t="s">
        <v>8</v>
      </c>
      <c r="D21" s="94" t="s">
        <v>8</v>
      </c>
      <c r="E21" s="95" t="s">
        <v>8</v>
      </c>
      <c r="F21" s="94" t="s">
        <v>8</v>
      </c>
      <c r="G21" s="998" t="s">
        <v>8</v>
      </c>
      <c r="H21" s="94" t="s">
        <v>8</v>
      </c>
      <c r="I21" s="94" t="s">
        <v>8</v>
      </c>
    </row>
    <row r="22" spans="1:9" ht="15.75" thickBot="1">
      <c r="A22" s="94" t="s">
        <v>8</v>
      </c>
      <c r="B22" s="999" t="s">
        <v>8</v>
      </c>
      <c r="C22" s="94" t="s">
        <v>8</v>
      </c>
      <c r="D22" s="94" t="s">
        <v>8</v>
      </c>
      <c r="E22" s="95" t="s">
        <v>8</v>
      </c>
      <c r="F22" s="94" t="s">
        <v>8</v>
      </c>
      <c r="G22" s="998" t="s">
        <v>8</v>
      </c>
      <c r="H22" s="94" t="s">
        <v>8</v>
      </c>
      <c r="I22" s="94" t="s">
        <v>8</v>
      </c>
    </row>
    <row r="23" spans="1:9" ht="15.75" thickTop="1">
      <c r="A23" s="94" t="s">
        <v>8</v>
      </c>
      <c r="B23" s="1021" t="s">
        <v>8</v>
      </c>
      <c r="C23" s="1007" t="s">
        <v>8</v>
      </c>
      <c r="D23" s="1012" t="s">
        <v>227</v>
      </c>
      <c r="E23" s="1022" t="s">
        <v>8</v>
      </c>
      <c r="F23" s="1007" t="s">
        <v>8</v>
      </c>
      <c r="G23" s="1023" t="s">
        <v>8</v>
      </c>
      <c r="H23" s="994" t="s">
        <v>8</v>
      </c>
      <c r="I23" s="94" t="s">
        <v>8</v>
      </c>
    </row>
    <row r="24" spans="1:9">
      <c r="A24" s="94" t="s">
        <v>8</v>
      </c>
      <c r="B24" s="1008" t="s">
        <v>8</v>
      </c>
      <c r="C24" s="1010" t="s">
        <v>8</v>
      </c>
      <c r="D24" s="1010" t="s">
        <v>8</v>
      </c>
      <c r="E24" s="1014" t="s">
        <v>8</v>
      </c>
      <c r="F24" s="1010" t="s">
        <v>8</v>
      </c>
      <c r="G24" s="1016" t="s">
        <v>8</v>
      </c>
      <c r="H24" s="1002" t="s">
        <v>8</v>
      </c>
      <c r="I24" s="94" t="s">
        <v>8</v>
      </c>
    </row>
    <row r="25" spans="1:9">
      <c r="A25" s="94" t="s">
        <v>8</v>
      </c>
      <c r="B25" s="1008" t="s">
        <v>8</v>
      </c>
      <c r="C25" s="1010" t="s">
        <v>8</v>
      </c>
      <c r="D25" s="1010" t="s">
        <v>8</v>
      </c>
      <c r="E25" s="1014" t="s">
        <v>8</v>
      </c>
      <c r="F25" s="1010" t="s">
        <v>8</v>
      </c>
      <c r="G25" s="1016" t="s">
        <v>8</v>
      </c>
      <c r="H25" s="1002" t="s">
        <v>8</v>
      </c>
      <c r="I25" s="94" t="s">
        <v>8</v>
      </c>
    </row>
    <row r="26" spans="1:9" ht="15.75" thickBot="1">
      <c r="A26" s="94" t="s">
        <v>8</v>
      </c>
      <c r="B26" s="1009" t="s">
        <v>8</v>
      </c>
      <c r="C26" s="1011" t="s">
        <v>8</v>
      </c>
      <c r="D26" s="1013" t="s">
        <v>51</v>
      </c>
      <c r="E26" s="1015">
        <f>SUM($E$24:$E$25)</f>
        <v>0</v>
      </c>
      <c r="F26" s="1011" t="s">
        <v>8</v>
      </c>
      <c r="G26" s="1017" t="s">
        <v>8</v>
      </c>
      <c r="H26" s="997" t="s">
        <v>8</v>
      </c>
      <c r="I26" s="94" t="s">
        <v>8</v>
      </c>
    </row>
    <row r="27" spans="1:9" ht="15.75" thickTop="1">
      <c r="A27" s="94" t="s">
        <v>8</v>
      </c>
      <c r="B27" s="999" t="s">
        <v>8</v>
      </c>
      <c r="C27" s="94" t="s">
        <v>8</v>
      </c>
      <c r="D27" s="94" t="s">
        <v>8</v>
      </c>
      <c r="E27" s="95" t="s">
        <v>8</v>
      </c>
      <c r="F27" s="94" t="s">
        <v>8</v>
      </c>
      <c r="G27" s="998" t="s">
        <v>8</v>
      </c>
      <c r="H27" s="94" t="s">
        <v>8</v>
      </c>
      <c r="I27" s="94" t="s">
        <v>8</v>
      </c>
    </row>
    <row r="28" spans="1:9" ht="15.75" thickBot="1">
      <c r="A28" s="94" t="s">
        <v>8</v>
      </c>
      <c r="B28" s="999" t="s">
        <v>8</v>
      </c>
      <c r="C28" s="94" t="s">
        <v>8</v>
      </c>
      <c r="D28" s="94" t="s">
        <v>8</v>
      </c>
      <c r="E28" s="95" t="s">
        <v>8</v>
      </c>
      <c r="F28" s="94" t="s">
        <v>8</v>
      </c>
      <c r="G28" s="998" t="s">
        <v>8</v>
      </c>
      <c r="H28" s="94" t="s">
        <v>8</v>
      </c>
      <c r="I28" s="94" t="s">
        <v>8</v>
      </c>
    </row>
    <row r="29" spans="1:9" ht="15.75" thickTop="1">
      <c r="A29" s="94" t="s">
        <v>8</v>
      </c>
      <c r="B29" s="1021" t="s">
        <v>8</v>
      </c>
      <c r="C29" s="1007" t="s">
        <v>8</v>
      </c>
      <c r="D29" s="1012" t="s">
        <v>228</v>
      </c>
      <c r="E29" s="1022" t="s">
        <v>8</v>
      </c>
      <c r="F29" s="1007" t="s">
        <v>8</v>
      </c>
      <c r="G29" s="1023" t="s">
        <v>8</v>
      </c>
      <c r="H29" s="994" t="s">
        <v>8</v>
      </c>
      <c r="I29" s="94" t="s">
        <v>8</v>
      </c>
    </row>
    <row r="30" spans="1:9">
      <c r="A30" s="94" t="s">
        <v>8</v>
      </c>
      <c r="B30" s="1008" t="s">
        <v>8</v>
      </c>
      <c r="C30" s="1010" t="s">
        <v>8</v>
      </c>
      <c r="D30" s="1010" t="s">
        <v>8</v>
      </c>
      <c r="E30" s="1014" t="s">
        <v>8</v>
      </c>
      <c r="F30" s="1010" t="s">
        <v>8</v>
      </c>
      <c r="G30" s="1016" t="s">
        <v>8</v>
      </c>
      <c r="H30" s="1002" t="s">
        <v>8</v>
      </c>
      <c r="I30" s="94" t="s">
        <v>8</v>
      </c>
    </row>
    <row r="31" spans="1:9">
      <c r="A31" s="94" t="s">
        <v>8</v>
      </c>
      <c r="B31" s="1008" t="s">
        <v>8</v>
      </c>
      <c r="C31" s="1010" t="s">
        <v>8</v>
      </c>
      <c r="D31" s="1010" t="s">
        <v>8</v>
      </c>
      <c r="E31" s="1014" t="s">
        <v>8</v>
      </c>
      <c r="F31" s="1010" t="s">
        <v>8</v>
      </c>
      <c r="G31" s="1016" t="s">
        <v>8</v>
      </c>
      <c r="H31" s="1002" t="s">
        <v>8</v>
      </c>
      <c r="I31" s="94" t="s">
        <v>8</v>
      </c>
    </row>
    <row r="32" spans="1:9" ht="15.75" thickBot="1">
      <c r="A32" s="94" t="s">
        <v>8</v>
      </c>
      <c r="B32" s="1009" t="s">
        <v>8</v>
      </c>
      <c r="C32" s="1011" t="s">
        <v>8</v>
      </c>
      <c r="D32" s="1013" t="s">
        <v>51</v>
      </c>
      <c r="E32" s="1015">
        <f>SUM($E$30:$E$31)</f>
        <v>0</v>
      </c>
      <c r="F32" s="1011" t="s">
        <v>8</v>
      </c>
      <c r="G32" s="1017" t="s">
        <v>8</v>
      </c>
      <c r="H32" s="997" t="s">
        <v>8</v>
      </c>
      <c r="I32" s="94" t="s">
        <v>8</v>
      </c>
    </row>
    <row r="33" spans="1:9" ht="15.75" thickTop="1">
      <c r="A33" s="94" t="s">
        <v>8</v>
      </c>
      <c r="B33" s="999" t="s">
        <v>8</v>
      </c>
      <c r="C33" s="94" t="s">
        <v>8</v>
      </c>
      <c r="D33" s="94" t="s">
        <v>8</v>
      </c>
      <c r="E33" s="95" t="s">
        <v>8</v>
      </c>
      <c r="F33" s="94" t="s">
        <v>8</v>
      </c>
      <c r="G33" s="998" t="s">
        <v>8</v>
      </c>
      <c r="H33" s="94" t="s">
        <v>8</v>
      </c>
      <c r="I33" s="94" t="s">
        <v>8</v>
      </c>
    </row>
    <row r="34" spans="1:9" ht="15.75" thickBot="1">
      <c r="A34" s="94" t="s">
        <v>8</v>
      </c>
      <c r="B34" s="999" t="s">
        <v>8</v>
      </c>
      <c r="C34" s="94" t="s">
        <v>8</v>
      </c>
      <c r="D34" s="94" t="s">
        <v>8</v>
      </c>
      <c r="E34" s="95" t="s">
        <v>8</v>
      </c>
      <c r="F34" s="94" t="s">
        <v>8</v>
      </c>
      <c r="G34" s="998" t="s">
        <v>8</v>
      </c>
      <c r="H34" s="94" t="s">
        <v>8</v>
      </c>
      <c r="I34" s="94" t="s">
        <v>8</v>
      </c>
    </row>
    <row r="35" spans="1:9" ht="15.75" thickTop="1">
      <c r="A35" s="94" t="s">
        <v>8</v>
      </c>
      <c r="B35" s="1021" t="s">
        <v>8</v>
      </c>
      <c r="C35" s="1007" t="s">
        <v>8</v>
      </c>
      <c r="D35" s="1012" t="s">
        <v>229</v>
      </c>
      <c r="E35" s="1022" t="s">
        <v>8</v>
      </c>
      <c r="F35" s="1007" t="s">
        <v>8</v>
      </c>
      <c r="G35" s="1023" t="s">
        <v>8</v>
      </c>
      <c r="H35" s="994" t="s">
        <v>8</v>
      </c>
      <c r="I35" s="94" t="s">
        <v>8</v>
      </c>
    </row>
    <row r="36" spans="1:9">
      <c r="A36" s="94" t="s">
        <v>8</v>
      </c>
      <c r="B36" s="1008" t="s">
        <v>8</v>
      </c>
      <c r="C36" s="1010" t="s">
        <v>8</v>
      </c>
      <c r="D36" s="1010" t="s">
        <v>8</v>
      </c>
      <c r="E36" s="1014" t="s">
        <v>8</v>
      </c>
      <c r="F36" s="1010" t="s">
        <v>8</v>
      </c>
      <c r="G36" s="1016" t="s">
        <v>8</v>
      </c>
      <c r="H36" s="1002" t="s">
        <v>8</v>
      </c>
      <c r="I36" s="94" t="s">
        <v>8</v>
      </c>
    </row>
    <row r="37" spans="1:9">
      <c r="A37" s="94" t="s">
        <v>8</v>
      </c>
      <c r="B37" s="1008" t="s">
        <v>8</v>
      </c>
      <c r="C37" s="1010" t="s">
        <v>8</v>
      </c>
      <c r="D37" s="1010" t="s">
        <v>8</v>
      </c>
      <c r="E37" s="1014" t="s">
        <v>8</v>
      </c>
      <c r="F37" s="1010" t="s">
        <v>8</v>
      </c>
      <c r="G37" s="1016" t="s">
        <v>8</v>
      </c>
      <c r="H37" s="1002" t="s">
        <v>8</v>
      </c>
      <c r="I37" s="94" t="s">
        <v>8</v>
      </c>
    </row>
    <row r="38" spans="1:9" ht="15.75" thickBot="1">
      <c r="A38" s="94" t="s">
        <v>8</v>
      </c>
      <c r="B38" s="1009" t="s">
        <v>8</v>
      </c>
      <c r="C38" s="1011" t="s">
        <v>8</v>
      </c>
      <c r="D38" s="1013" t="s">
        <v>51</v>
      </c>
      <c r="E38" s="1015">
        <f>SUM($E$36:$E$37)</f>
        <v>0</v>
      </c>
      <c r="F38" s="1011" t="s">
        <v>8</v>
      </c>
      <c r="G38" s="1017" t="s">
        <v>8</v>
      </c>
      <c r="H38" s="997" t="s">
        <v>8</v>
      </c>
      <c r="I38" s="94" t="s">
        <v>8</v>
      </c>
    </row>
    <row r="39" spans="1:9" ht="16.5" thickTop="1" thickBot="1">
      <c r="A39" s="94" t="s">
        <v>8</v>
      </c>
      <c r="B39" s="999" t="s">
        <v>8</v>
      </c>
      <c r="C39" s="94" t="s">
        <v>8</v>
      </c>
      <c r="D39" s="94" t="s">
        <v>8</v>
      </c>
      <c r="E39" s="95" t="s">
        <v>8</v>
      </c>
      <c r="F39" s="94" t="s">
        <v>8</v>
      </c>
      <c r="G39" s="998" t="s">
        <v>8</v>
      </c>
      <c r="H39" s="94" t="s">
        <v>8</v>
      </c>
      <c r="I39" s="94" t="s">
        <v>8</v>
      </c>
    </row>
    <row r="40" spans="1:9" ht="15.75" thickTop="1">
      <c r="A40" s="94" t="s">
        <v>8</v>
      </c>
      <c r="B40" s="1018" t="s">
        <v>8</v>
      </c>
      <c r="C40" s="993" t="s">
        <v>8</v>
      </c>
      <c r="D40" s="993" t="s">
        <v>8</v>
      </c>
      <c r="E40" s="1019" t="s">
        <v>8</v>
      </c>
      <c r="F40" s="993" t="s">
        <v>8</v>
      </c>
      <c r="G40" s="1020" t="s">
        <v>8</v>
      </c>
      <c r="H40" s="994" t="s">
        <v>8</v>
      </c>
      <c r="I40" s="94" t="s">
        <v>8</v>
      </c>
    </row>
    <row r="41" spans="1:9">
      <c r="A41" s="94" t="s">
        <v>8</v>
      </c>
      <c r="B41" s="1001" t="s">
        <v>8</v>
      </c>
      <c r="C41" s="2062" t="s">
        <v>8</v>
      </c>
      <c r="D41" s="2064" t="s">
        <v>114</v>
      </c>
      <c r="E41" s="2063">
        <f>ABS(E13+$E$20-$E$38+$E$26-$E$32)</f>
        <v>0.82</v>
      </c>
      <c r="F41" s="2062" t="s">
        <v>8</v>
      </c>
      <c r="G41" s="2066" t="s">
        <v>8</v>
      </c>
      <c r="H41" s="1002" t="s">
        <v>8</v>
      </c>
      <c r="I41" s="94" t="s">
        <v>8</v>
      </c>
    </row>
    <row r="42" spans="1:9">
      <c r="A42" s="94" t="s">
        <v>8</v>
      </c>
      <c r="B42" s="1001" t="s">
        <v>8</v>
      </c>
      <c r="C42" s="2062" t="s">
        <v>8</v>
      </c>
      <c r="D42" s="2064" t="s">
        <v>115</v>
      </c>
      <c r="E42" s="2063">
        <v>0.82</v>
      </c>
      <c r="F42" s="2062" t="s">
        <v>8</v>
      </c>
      <c r="G42" s="2066" t="s">
        <v>8</v>
      </c>
      <c r="H42" s="1002" t="s">
        <v>8</v>
      </c>
      <c r="I42" s="94" t="s">
        <v>29</v>
      </c>
    </row>
    <row r="43" spans="1:9" ht="15.75" thickBot="1">
      <c r="A43" s="94" t="s">
        <v>8</v>
      </c>
      <c r="B43" s="1003" t="s">
        <v>8</v>
      </c>
      <c r="C43" s="996" t="s">
        <v>8</v>
      </c>
      <c r="D43" s="1004" t="s">
        <v>117</v>
      </c>
      <c r="E43" s="1005">
        <f>$E$42-$E$41</f>
        <v>0</v>
      </c>
      <c r="F43" s="996" t="s">
        <v>8</v>
      </c>
      <c r="G43" s="1006" t="s">
        <v>8</v>
      </c>
      <c r="H43" s="997" t="s">
        <v>8</v>
      </c>
      <c r="I43" s="94" t="s">
        <v>8</v>
      </c>
    </row>
    <row r="44" spans="1:9" ht="16.5" thickTop="1" thickBot="1">
      <c r="A44" s="94" t="s">
        <v>8</v>
      </c>
      <c r="B44" s="999" t="s">
        <v>8</v>
      </c>
      <c r="C44" s="94" t="s">
        <v>8</v>
      </c>
      <c r="D44" s="94" t="s">
        <v>8</v>
      </c>
      <c r="E44" s="95" t="s">
        <v>8</v>
      </c>
      <c r="F44" s="94" t="s">
        <v>8</v>
      </c>
      <c r="G44" s="998" t="s">
        <v>8</v>
      </c>
      <c r="H44" s="94" t="s">
        <v>8</v>
      </c>
      <c r="I44" s="94" t="s">
        <v>8</v>
      </c>
    </row>
    <row r="45" spans="1:9" ht="15.75" thickTop="1">
      <c r="A45" s="94" t="s">
        <v>8</v>
      </c>
      <c r="B45" s="1018" t="s">
        <v>8</v>
      </c>
      <c r="C45" s="993" t="s">
        <v>8</v>
      </c>
      <c r="D45" s="1000" t="s">
        <v>118</v>
      </c>
      <c r="E45" s="1024" t="s">
        <v>119</v>
      </c>
      <c r="F45" s="1000" t="s">
        <v>120</v>
      </c>
      <c r="G45" s="1020">
        <v>45981</v>
      </c>
      <c r="H45" s="994" t="s">
        <v>8</v>
      </c>
      <c r="I45" s="94" t="s">
        <v>8</v>
      </c>
    </row>
    <row r="46" spans="1:9">
      <c r="A46" s="94" t="s">
        <v>8</v>
      </c>
      <c r="B46" s="1001" t="s">
        <v>8</v>
      </c>
      <c r="C46" s="2062" t="s">
        <v>8</v>
      </c>
      <c r="D46" s="2062" t="s">
        <v>8</v>
      </c>
      <c r="E46" s="2065" t="s">
        <v>8</v>
      </c>
      <c r="F46" s="2062" t="s">
        <v>8</v>
      </c>
      <c r="G46" s="2066" t="s">
        <v>8</v>
      </c>
      <c r="H46" s="1002" t="s">
        <v>8</v>
      </c>
      <c r="I46" s="94" t="s">
        <v>8</v>
      </c>
    </row>
    <row r="47" spans="1:9">
      <c r="A47" s="94" t="s">
        <v>8</v>
      </c>
      <c r="B47" s="1001" t="s">
        <v>8</v>
      </c>
      <c r="C47" s="2062" t="s">
        <v>8</v>
      </c>
      <c r="D47" s="2062" t="s">
        <v>8</v>
      </c>
      <c r="E47" s="2065" t="s">
        <v>8</v>
      </c>
      <c r="F47" s="2062" t="s">
        <v>8</v>
      </c>
      <c r="G47" s="2066" t="s">
        <v>8</v>
      </c>
      <c r="H47" s="1002" t="s">
        <v>8</v>
      </c>
      <c r="I47" s="94" t="s">
        <v>8</v>
      </c>
    </row>
    <row r="48" spans="1:9">
      <c r="A48" s="94" t="s">
        <v>8</v>
      </c>
      <c r="B48" s="1001" t="s">
        <v>8</v>
      </c>
      <c r="C48" s="2062" t="s">
        <v>8</v>
      </c>
      <c r="D48" s="2064" t="s">
        <v>121</v>
      </c>
      <c r="E48" s="2063" t="s">
        <v>8</v>
      </c>
      <c r="F48" s="2064" t="s">
        <v>120</v>
      </c>
      <c r="G48" s="2066" t="s">
        <v>8</v>
      </c>
      <c r="H48" s="1002" t="s">
        <v>8</v>
      </c>
      <c r="I48" s="94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3" bestFit="1" customWidth="1"/>
    <col min="5" max="5" width="24.5703125" bestFit="1" customWidth="1"/>
    <col min="6" max="6" width="28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99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196</v>
      </c>
    </row>
    <row r="2" spans="1:9">
      <c r="A2" s="97" t="s">
        <v>8</v>
      </c>
      <c r="B2" s="97" t="s">
        <v>8</v>
      </c>
      <c r="C2" s="97" t="s">
        <v>8</v>
      </c>
      <c r="D2" s="97" t="s">
        <v>8</v>
      </c>
      <c r="E2" s="97" t="s">
        <v>8</v>
      </c>
      <c r="F2" s="97" t="s">
        <v>8</v>
      </c>
      <c r="G2" s="97" t="s">
        <v>8</v>
      </c>
      <c r="H2" s="97" t="s">
        <v>8</v>
      </c>
      <c r="I2" s="97" t="s">
        <v>8</v>
      </c>
    </row>
    <row r="3" spans="1:9" ht="15.75" thickBot="1">
      <c r="A3" s="97" t="s">
        <v>8</v>
      </c>
      <c r="B3" s="97" t="s">
        <v>8</v>
      </c>
      <c r="C3" s="97" t="s">
        <v>8</v>
      </c>
      <c r="D3" s="97" t="s">
        <v>8</v>
      </c>
      <c r="E3" s="97" t="s">
        <v>8</v>
      </c>
      <c r="F3" s="97" t="s">
        <v>8</v>
      </c>
      <c r="G3" s="97" t="s">
        <v>8</v>
      </c>
      <c r="H3" s="97" t="s">
        <v>8</v>
      </c>
      <c r="I3" s="97" t="s">
        <v>8</v>
      </c>
    </row>
    <row r="4" spans="1:9" ht="16.5" thickTop="1" thickBot="1">
      <c r="A4" s="97" t="s">
        <v>8</v>
      </c>
      <c r="B4" s="97" t="s">
        <v>14</v>
      </c>
      <c r="C4" s="97" t="s">
        <v>8</v>
      </c>
      <c r="D4" s="1026" t="s">
        <v>15</v>
      </c>
      <c r="E4" s="97" t="s">
        <v>16</v>
      </c>
      <c r="F4" s="1026" t="s">
        <v>230</v>
      </c>
      <c r="G4" s="97" t="s">
        <v>8</v>
      </c>
      <c r="H4" s="97" t="s">
        <v>8</v>
      </c>
      <c r="I4" s="97" t="s">
        <v>8</v>
      </c>
    </row>
    <row r="5" spans="1:9" ht="16.5" thickTop="1" thickBot="1">
      <c r="A5" s="97" t="s">
        <v>8</v>
      </c>
      <c r="B5" s="97" t="s">
        <v>8</v>
      </c>
      <c r="C5" s="97" t="s">
        <v>8</v>
      </c>
      <c r="D5" s="97" t="s">
        <v>8</v>
      </c>
      <c r="E5" s="97" t="s">
        <v>8</v>
      </c>
      <c r="F5" s="97" t="s">
        <v>8</v>
      </c>
      <c r="G5" s="97" t="s">
        <v>8</v>
      </c>
      <c r="H5" s="97" t="s">
        <v>8</v>
      </c>
      <c r="I5" s="97" t="s">
        <v>8</v>
      </c>
    </row>
    <row r="6" spans="1:9" ht="16.5" thickTop="1" thickBot="1">
      <c r="A6" s="97" t="s">
        <v>8</v>
      </c>
      <c r="B6" s="97" t="s">
        <v>18</v>
      </c>
      <c r="C6" s="97" t="s">
        <v>8</v>
      </c>
      <c r="D6" s="1026" t="s">
        <v>19</v>
      </c>
      <c r="E6" s="97" t="s">
        <v>20</v>
      </c>
      <c r="F6" s="1026" t="s">
        <v>231</v>
      </c>
      <c r="G6" s="97" t="s">
        <v>8</v>
      </c>
      <c r="H6" s="97" t="s">
        <v>8</v>
      </c>
      <c r="I6" s="97" t="s">
        <v>8</v>
      </c>
    </row>
    <row r="7" spans="1:9" ht="16.5" thickTop="1" thickBot="1">
      <c r="A7" s="97" t="s">
        <v>8</v>
      </c>
      <c r="B7" s="97" t="s">
        <v>8</v>
      </c>
      <c r="C7" s="97" t="s">
        <v>8</v>
      </c>
      <c r="D7" s="97" t="s">
        <v>8</v>
      </c>
      <c r="E7" s="97" t="s">
        <v>8</v>
      </c>
      <c r="F7" s="97" t="s">
        <v>8</v>
      </c>
      <c r="G7" s="97" t="s">
        <v>8</v>
      </c>
      <c r="H7" s="97" t="s">
        <v>8</v>
      </c>
      <c r="I7" s="97" t="s">
        <v>8</v>
      </c>
    </row>
    <row r="8" spans="1:9" ht="16.5" thickTop="1" thickBot="1">
      <c r="A8" s="97" t="s">
        <v>8</v>
      </c>
      <c r="B8" s="97" t="s">
        <v>22</v>
      </c>
      <c r="C8" s="97" t="s">
        <v>8</v>
      </c>
      <c r="D8" s="1026" t="s">
        <v>11</v>
      </c>
      <c r="E8" s="97" t="s">
        <v>23</v>
      </c>
      <c r="F8" s="1026" t="s">
        <v>232</v>
      </c>
      <c r="G8" s="97" t="s">
        <v>8</v>
      </c>
      <c r="H8" s="97" t="s">
        <v>8</v>
      </c>
      <c r="I8" s="97" t="s">
        <v>8</v>
      </c>
    </row>
    <row r="9" spans="1:9" ht="16.5" thickTop="1" thickBot="1">
      <c r="A9" s="97" t="s">
        <v>8</v>
      </c>
      <c r="B9" s="97" t="s">
        <v>8</v>
      </c>
      <c r="C9" s="97" t="s">
        <v>8</v>
      </c>
      <c r="D9" s="97" t="s">
        <v>8</v>
      </c>
      <c r="E9" s="97" t="s">
        <v>8</v>
      </c>
      <c r="F9" s="97" t="s">
        <v>8</v>
      </c>
      <c r="G9" s="97" t="s">
        <v>8</v>
      </c>
      <c r="H9" s="97" t="s">
        <v>8</v>
      </c>
      <c r="I9" s="97" t="s">
        <v>8</v>
      </c>
    </row>
    <row r="10" spans="1:9" ht="16.5" thickTop="1" thickBot="1">
      <c r="A10" s="97" t="s">
        <v>8</v>
      </c>
      <c r="B10" s="97" t="s">
        <v>25</v>
      </c>
      <c r="C10" s="97" t="s">
        <v>8</v>
      </c>
      <c r="D10" s="1026" t="s">
        <v>26</v>
      </c>
      <c r="E10" s="97" t="s">
        <v>8</v>
      </c>
      <c r="F10" s="97" t="s">
        <v>8</v>
      </c>
      <c r="G10" s="97" t="s">
        <v>8</v>
      </c>
      <c r="H10" s="97" t="s">
        <v>8</v>
      </c>
      <c r="I10" s="97" t="s">
        <v>8</v>
      </c>
    </row>
    <row r="11" spans="1:9" ht="16.5" thickTop="1" thickBot="1">
      <c r="A11" s="97" t="s">
        <v>8</v>
      </c>
      <c r="B11" s="97" t="s">
        <v>8</v>
      </c>
      <c r="C11" s="97" t="s">
        <v>8</v>
      </c>
      <c r="D11" s="97" t="s">
        <v>8</v>
      </c>
      <c r="E11" s="97" t="s">
        <v>8</v>
      </c>
      <c r="F11" s="97" t="s">
        <v>8</v>
      </c>
      <c r="G11" s="97" t="s">
        <v>8</v>
      </c>
      <c r="H11" s="97" t="s">
        <v>8</v>
      </c>
      <c r="I11" s="97" t="s">
        <v>8</v>
      </c>
    </row>
    <row r="12" spans="1:9" ht="16.5" thickTop="1" thickBot="1">
      <c r="A12" s="97" t="s">
        <v>8</v>
      </c>
      <c r="B12" s="1027" t="s">
        <v>8</v>
      </c>
      <c r="C12" s="1028" t="s">
        <v>8</v>
      </c>
      <c r="D12" s="1028" t="s">
        <v>8</v>
      </c>
      <c r="E12" s="1028" t="s">
        <v>8</v>
      </c>
      <c r="F12" s="1028" t="s">
        <v>8</v>
      </c>
      <c r="G12" s="1028" t="s">
        <v>8</v>
      </c>
      <c r="H12" s="1029" t="s">
        <v>8</v>
      </c>
      <c r="I12" s="97" t="s">
        <v>8</v>
      </c>
    </row>
    <row r="13" spans="1:9" ht="16.5" thickTop="1" thickBot="1">
      <c r="A13" s="97" t="s">
        <v>8</v>
      </c>
      <c r="B13" s="1030" t="s">
        <v>8</v>
      </c>
      <c r="C13" s="1025" t="s">
        <v>11</v>
      </c>
      <c r="D13" s="1031" t="s">
        <v>28</v>
      </c>
      <c r="E13" s="1040">
        <v>51970</v>
      </c>
      <c r="F13" s="1031" t="s">
        <v>8</v>
      </c>
      <c r="G13" s="1031" t="s">
        <v>8</v>
      </c>
      <c r="H13" s="1032" t="s">
        <v>8</v>
      </c>
      <c r="I13" s="97" t="s">
        <v>29</v>
      </c>
    </row>
    <row r="14" spans="1:9" ht="16.5" thickTop="1" thickBot="1">
      <c r="A14" s="97" t="s">
        <v>8</v>
      </c>
      <c r="B14" s="97" t="s">
        <v>8</v>
      </c>
      <c r="C14" s="97" t="s">
        <v>8</v>
      </c>
      <c r="D14" s="97" t="s">
        <v>8</v>
      </c>
      <c r="E14" s="97" t="s">
        <v>8</v>
      </c>
      <c r="F14" s="97" t="s">
        <v>8</v>
      </c>
      <c r="G14" s="97" t="s">
        <v>8</v>
      </c>
      <c r="H14" s="97" t="s">
        <v>8</v>
      </c>
      <c r="I14" s="97" t="s">
        <v>8</v>
      </c>
    </row>
    <row r="15" spans="1:9" ht="16.5" thickTop="1" thickBot="1">
      <c r="A15" s="97" t="s">
        <v>8</v>
      </c>
      <c r="B15" s="1026" t="s">
        <v>30</v>
      </c>
      <c r="C15" s="1025" t="s">
        <v>31</v>
      </c>
      <c r="D15" s="1025" t="s">
        <v>32</v>
      </c>
      <c r="E15" s="1025" t="s">
        <v>33</v>
      </c>
      <c r="F15" s="1025" t="s">
        <v>34</v>
      </c>
      <c r="G15" s="1025" t="s">
        <v>35</v>
      </c>
      <c r="H15" s="1025" t="s">
        <v>36</v>
      </c>
      <c r="I15" s="97" t="s">
        <v>8</v>
      </c>
    </row>
    <row r="16" spans="1:9" ht="16.5" thickTop="1" thickBot="1">
      <c r="A16" s="97" t="s">
        <v>8</v>
      </c>
      <c r="B16" s="97" t="s">
        <v>8</v>
      </c>
      <c r="C16" s="97" t="s">
        <v>8</v>
      </c>
      <c r="D16" s="97" t="s">
        <v>8</v>
      </c>
      <c r="E16" s="97" t="s">
        <v>8</v>
      </c>
      <c r="F16" s="97" t="s">
        <v>8</v>
      </c>
      <c r="G16" s="97" t="s">
        <v>8</v>
      </c>
      <c r="H16" s="97" t="s">
        <v>8</v>
      </c>
      <c r="I16" s="97" t="s">
        <v>8</v>
      </c>
    </row>
    <row r="17" spans="1:9" ht="15.75" thickTop="1">
      <c r="A17" s="97" t="s">
        <v>8</v>
      </c>
      <c r="B17" s="1042" t="s">
        <v>8</v>
      </c>
      <c r="C17" s="1042" t="s">
        <v>8</v>
      </c>
      <c r="D17" s="1047" t="s">
        <v>226</v>
      </c>
      <c r="E17" s="1042" t="s">
        <v>8</v>
      </c>
      <c r="F17" s="1042" t="s">
        <v>8</v>
      </c>
      <c r="G17" s="1042" t="s">
        <v>8</v>
      </c>
      <c r="H17" s="1029" t="s">
        <v>8</v>
      </c>
      <c r="I17" s="97" t="s">
        <v>8</v>
      </c>
    </row>
    <row r="18" spans="1:9">
      <c r="A18" s="97" t="s">
        <v>8</v>
      </c>
      <c r="B18" s="1043" t="s">
        <v>8</v>
      </c>
      <c r="C18" s="1045" t="s">
        <v>8</v>
      </c>
      <c r="D18" s="1045" t="s">
        <v>8</v>
      </c>
      <c r="E18" s="1049" t="s">
        <v>8</v>
      </c>
      <c r="F18" s="1045" t="s">
        <v>8</v>
      </c>
      <c r="G18" s="1051" t="s">
        <v>8</v>
      </c>
      <c r="H18" s="1037" t="s">
        <v>8</v>
      </c>
      <c r="I18" s="97" t="s">
        <v>8</v>
      </c>
    </row>
    <row r="19" spans="1:9">
      <c r="A19" s="97" t="s">
        <v>8</v>
      </c>
      <c r="B19" s="1043" t="s">
        <v>8</v>
      </c>
      <c r="C19" s="1045" t="s">
        <v>8</v>
      </c>
      <c r="D19" s="1045" t="s">
        <v>8</v>
      </c>
      <c r="E19" s="1049" t="s">
        <v>8</v>
      </c>
      <c r="F19" s="1045" t="s">
        <v>8</v>
      </c>
      <c r="G19" s="1051" t="s">
        <v>8</v>
      </c>
      <c r="H19" s="1037" t="s">
        <v>8</v>
      </c>
      <c r="I19" s="97" t="s">
        <v>8</v>
      </c>
    </row>
    <row r="20" spans="1:9" ht="15.75" thickBot="1">
      <c r="A20" s="97" t="s">
        <v>8</v>
      </c>
      <c r="B20" s="1044" t="s">
        <v>8</v>
      </c>
      <c r="C20" s="1046" t="s">
        <v>8</v>
      </c>
      <c r="D20" s="1048" t="s">
        <v>51</v>
      </c>
      <c r="E20" s="1050">
        <f>SUM($E$18:$E$19)</f>
        <v>0</v>
      </c>
      <c r="F20" s="1046" t="s">
        <v>8</v>
      </c>
      <c r="G20" s="1052" t="s">
        <v>8</v>
      </c>
      <c r="H20" s="1032" t="s">
        <v>8</v>
      </c>
      <c r="I20" s="97" t="s">
        <v>8</v>
      </c>
    </row>
    <row r="21" spans="1:9" ht="15.75" thickTop="1">
      <c r="A21" s="97" t="s">
        <v>8</v>
      </c>
      <c r="B21" s="1034" t="s">
        <v>8</v>
      </c>
      <c r="C21" s="97" t="s">
        <v>8</v>
      </c>
      <c r="D21" s="97" t="s">
        <v>8</v>
      </c>
      <c r="E21" s="98" t="s">
        <v>8</v>
      </c>
      <c r="F21" s="97" t="s">
        <v>8</v>
      </c>
      <c r="G21" s="1033" t="s">
        <v>8</v>
      </c>
      <c r="H21" s="97" t="s">
        <v>8</v>
      </c>
      <c r="I21" s="97" t="s">
        <v>8</v>
      </c>
    </row>
    <row r="22" spans="1:9" ht="15.75" thickBot="1">
      <c r="A22" s="97" t="s">
        <v>8</v>
      </c>
      <c r="B22" s="1034" t="s">
        <v>8</v>
      </c>
      <c r="C22" s="97" t="s">
        <v>8</v>
      </c>
      <c r="D22" s="97" t="s">
        <v>8</v>
      </c>
      <c r="E22" s="98" t="s">
        <v>8</v>
      </c>
      <c r="F22" s="97" t="s">
        <v>8</v>
      </c>
      <c r="G22" s="1033" t="s">
        <v>8</v>
      </c>
      <c r="H22" s="97" t="s">
        <v>8</v>
      </c>
      <c r="I22" s="97" t="s">
        <v>8</v>
      </c>
    </row>
    <row r="23" spans="1:9" ht="15.75" thickTop="1">
      <c r="A23" s="97" t="s">
        <v>8</v>
      </c>
      <c r="B23" s="1056" t="s">
        <v>8</v>
      </c>
      <c r="C23" s="1042" t="s">
        <v>8</v>
      </c>
      <c r="D23" s="1047" t="s">
        <v>227</v>
      </c>
      <c r="E23" s="1057" t="s">
        <v>8</v>
      </c>
      <c r="F23" s="1042" t="s">
        <v>8</v>
      </c>
      <c r="G23" s="1058" t="s">
        <v>8</v>
      </c>
      <c r="H23" s="1029" t="s">
        <v>8</v>
      </c>
      <c r="I23" s="97" t="s">
        <v>8</v>
      </c>
    </row>
    <row r="24" spans="1:9">
      <c r="A24" s="97" t="s">
        <v>8</v>
      </c>
      <c r="B24" s="1043" t="s">
        <v>8</v>
      </c>
      <c r="C24" s="1045" t="s">
        <v>8</v>
      </c>
      <c r="D24" s="1045" t="s">
        <v>8</v>
      </c>
      <c r="E24" s="1049" t="s">
        <v>8</v>
      </c>
      <c r="F24" s="1045" t="s">
        <v>8</v>
      </c>
      <c r="G24" s="1051" t="s">
        <v>8</v>
      </c>
      <c r="H24" s="1037" t="s">
        <v>8</v>
      </c>
      <c r="I24" s="97" t="s">
        <v>8</v>
      </c>
    </row>
    <row r="25" spans="1:9">
      <c r="A25" s="97" t="s">
        <v>8</v>
      </c>
      <c r="B25" s="1043" t="s">
        <v>8</v>
      </c>
      <c r="C25" s="1045" t="s">
        <v>8</v>
      </c>
      <c r="D25" s="1045" t="s">
        <v>8</v>
      </c>
      <c r="E25" s="1049" t="s">
        <v>8</v>
      </c>
      <c r="F25" s="1045" t="s">
        <v>8</v>
      </c>
      <c r="G25" s="1051" t="s">
        <v>8</v>
      </c>
      <c r="H25" s="1037" t="s">
        <v>8</v>
      </c>
      <c r="I25" s="97" t="s">
        <v>8</v>
      </c>
    </row>
    <row r="26" spans="1:9" ht="15.75" thickBot="1">
      <c r="A26" s="97" t="s">
        <v>8</v>
      </c>
      <c r="B26" s="1044" t="s">
        <v>8</v>
      </c>
      <c r="C26" s="1046" t="s">
        <v>8</v>
      </c>
      <c r="D26" s="1048" t="s">
        <v>51</v>
      </c>
      <c r="E26" s="1050">
        <f>SUM($E$24:$E$25)</f>
        <v>0</v>
      </c>
      <c r="F26" s="1046" t="s">
        <v>8</v>
      </c>
      <c r="G26" s="1052" t="s">
        <v>8</v>
      </c>
      <c r="H26" s="1032" t="s">
        <v>8</v>
      </c>
      <c r="I26" s="97" t="s">
        <v>8</v>
      </c>
    </row>
    <row r="27" spans="1:9" ht="15.75" thickTop="1">
      <c r="A27" s="97" t="s">
        <v>8</v>
      </c>
      <c r="B27" s="1034" t="s">
        <v>8</v>
      </c>
      <c r="C27" s="97" t="s">
        <v>8</v>
      </c>
      <c r="D27" s="97" t="s">
        <v>8</v>
      </c>
      <c r="E27" s="98" t="s">
        <v>8</v>
      </c>
      <c r="F27" s="97" t="s">
        <v>8</v>
      </c>
      <c r="G27" s="1033" t="s">
        <v>8</v>
      </c>
      <c r="H27" s="97" t="s">
        <v>8</v>
      </c>
      <c r="I27" s="97" t="s">
        <v>8</v>
      </c>
    </row>
    <row r="28" spans="1:9" ht="15.75" thickBot="1">
      <c r="A28" s="97" t="s">
        <v>8</v>
      </c>
      <c r="B28" s="1034" t="s">
        <v>8</v>
      </c>
      <c r="C28" s="97" t="s">
        <v>8</v>
      </c>
      <c r="D28" s="97" t="s">
        <v>8</v>
      </c>
      <c r="E28" s="98" t="s">
        <v>8</v>
      </c>
      <c r="F28" s="97" t="s">
        <v>8</v>
      </c>
      <c r="G28" s="1033" t="s">
        <v>8</v>
      </c>
      <c r="H28" s="97" t="s">
        <v>8</v>
      </c>
      <c r="I28" s="97" t="s">
        <v>8</v>
      </c>
    </row>
    <row r="29" spans="1:9" ht="15.75" thickTop="1">
      <c r="A29" s="97" t="s">
        <v>8</v>
      </c>
      <c r="B29" s="1056" t="s">
        <v>8</v>
      </c>
      <c r="C29" s="1042" t="s">
        <v>8</v>
      </c>
      <c r="D29" s="1047" t="s">
        <v>228</v>
      </c>
      <c r="E29" s="1057" t="s">
        <v>8</v>
      </c>
      <c r="F29" s="1042" t="s">
        <v>8</v>
      </c>
      <c r="G29" s="1058" t="s">
        <v>8</v>
      </c>
      <c r="H29" s="1029" t="s">
        <v>8</v>
      </c>
      <c r="I29" s="97" t="s">
        <v>8</v>
      </c>
    </row>
    <row r="30" spans="1:9">
      <c r="A30" s="97" t="s">
        <v>8</v>
      </c>
      <c r="B30" s="1043" t="s">
        <v>8</v>
      </c>
      <c r="C30" s="1045" t="s">
        <v>8</v>
      </c>
      <c r="D30" s="1045" t="s">
        <v>8</v>
      </c>
      <c r="E30" s="1049" t="s">
        <v>8</v>
      </c>
      <c r="F30" s="1045" t="s">
        <v>8</v>
      </c>
      <c r="G30" s="1051" t="s">
        <v>8</v>
      </c>
      <c r="H30" s="1037" t="s">
        <v>8</v>
      </c>
      <c r="I30" s="97" t="s">
        <v>8</v>
      </c>
    </row>
    <row r="31" spans="1:9">
      <c r="A31" s="97" t="s">
        <v>8</v>
      </c>
      <c r="B31" s="1043" t="s">
        <v>8</v>
      </c>
      <c r="C31" s="1045" t="s">
        <v>8</v>
      </c>
      <c r="D31" s="1045" t="s">
        <v>8</v>
      </c>
      <c r="E31" s="1049" t="s">
        <v>8</v>
      </c>
      <c r="F31" s="1045" t="s">
        <v>8</v>
      </c>
      <c r="G31" s="1051" t="s">
        <v>8</v>
      </c>
      <c r="H31" s="1037" t="s">
        <v>8</v>
      </c>
      <c r="I31" s="97" t="s">
        <v>8</v>
      </c>
    </row>
    <row r="32" spans="1:9" ht="15.75" thickBot="1">
      <c r="A32" s="97" t="s">
        <v>8</v>
      </c>
      <c r="B32" s="1044" t="s">
        <v>8</v>
      </c>
      <c r="C32" s="1046" t="s">
        <v>8</v>
      </c>
      <c r="D32" s="1048" t="s">
        <v>51</v>
      </c>
      <c r="E32" s="1050">
        <f>SUM($E$30:$E$31)</f>
        <v>0</v>
      </c>
      <c r="F32" s="1046" t="s">
        <v>8</v>
      </c>
      <c r="G32" s="1052" t="s">
        <v>8</v>
      </c>
      <c r="H32" s="1032" t="s">
        <v>8</v>
      </c>
      <c r="I32" s="97" t="s">
        <v>8</v>
      </c>
    </row>
    <row r="33" spans="1:9" ht="15.75" thickTop="1">
      <c r="A33" s="97" t="s">
        <v>8</v>
      </c>
      <c r="B33" s="1034" t="s">
        <v>8</v>
      </c>
      <c r="C33" s="97" t="s">
        <v>8</v>
      </c>
      <c r="D33" s="97" t="s">
        <v>8</v>
      </c>
      <c r="E33" s="98" t="s">
        <v>8</v>
      </c>
      <c r="F33" s="97" t="s">
        <v>8</v>
      </c>
      <c r="G33" s="1033" t="s">
        <v>8</v>
      </c>
      <c r="H33" s="97" t="s">
        <v>8</v>
      </c>
      <c r="I33" s="97" t="s">
        <v>8</v>
      </c>
    </row>
    <row r="34" spans="1:9" ht="15.75" thickBot="1">
      <c r="A34" s="97" t="s">
        <v>8</v>
      </c>
      <c r="B34" s="1034" t="s">
        <v>8</v>
      </c>
      <c r="C34" s="97" t="s">
        <v>8</v>
      </c>
      <c r="D34" s="97" t="s">
        <v>8</v>
      </c>
      <c r="E34" s="98" t="s">
        <v>8</v>
      </c>
      <c r="F34" s="97" t="s">
        <v>8</v>
      </c>
      <c r="G34" s="1033" t="s">
        <v>8</v>
      </c>
      <c r="H34" s="97" t="s">
        <v>8</v>
      </c>
      <c r="I34" s="97" t="s">
        <v>8</v>
      </c>
    </row>
    <row r="35" spans="1:9" ht="15.75" thickTop="1">
      <c r="A35" s="97" t="s">
        <v>8</v>
      </c>
      <c r="B35" s="1056" t="s">
        <v>8</v>
      </c>
      <c r="C35" s="1042" t="s">
        <v>8</v>
      </c>
      <c r="D35" s="1047" t="s">
        <v>229</v>
      </c>
      <c r="E35" s="1057" t="s">
        <v>8</v>
      </c>
      <c r="F35" s="1042" t="s">
        <v>8</v>
      </c>
      <c r="G35" s="1058" t="s">
        <v>8</v>
      </c>
      <c r="H35" s="1029" t="s">
        <v>8</v>
      </c>
      <c r="I35" s="97" t="s">
        <v>8</v>
      </c>
    </row>
    <row r="36" spans="1:9">
      <c r="A36" s="97" t="s">
        <v>8</v>
      </c>
      <c r="B36" s="1043" t="s">
        <v>8</v>
      </c>
      <c r="C36" s="1045" t="s">
        <v>8</v>
      </c>
      <c r="D36" s="1045" t="s">
        <v>8</v>
      </c>
      <c r="E36" s="1049" t="s">
        <v>8</v>
      </c>
      <c r="F36" s="1045" t="s">
        <v>8</v>
      </c>
      <c r="G36" s="1051" t="s">
        <v>8</v>
      </c>
      <c r="H36" s="1037" t="s">
        <v>8</v>
      </c>
      <c r="I36" s="97" t="s">
        <v>8</v>
      </c>
    </row>
    <row r="37" spans="1:9">
      <c r="A37" s="97" t="s">
        <v>8</v>
      </c>
      <c r="B37" s="1043" t="s">
        <v>8</v>
      </c>
      <c r="C37" s="1045" t="s">
        <v>8</v>
      </c>
      <c r="D37" s="1045" t="s">
        <v>8</v>
      </c>
      <c r="E37" s="1049" t="s">
        <v>8</v>
      </c>
      <c r="F37" s="1045" t="s">
        <v>8</v>
      </c>
      <c r="G37" s="1051" t="s">
        <v>8</v>
      </c>
      <c r="H37" s="1037" t="s">
        <v>8</v>
      </c>
      <c r="I37" s="97" t="s">
        <v>8</v>
      </c>
    </row>
    <row r="38" spans="1:9" ht="15.75" thickBot="1">
      <c r="A38" s="97" t="s">
        <v>8</v>
      </c>
      <c r="B38" s="1044" t="s">
        <v>8</v>
      </c>
      <c r="C38" s="1046" t="s">
        <v>8</v>
      </c>
      <c r="D38" s="1048" t="s">
        <v>51</v>
      </c>
      <c r="E38" s="1050">
        <f>SUM($E$36:$E$37)</f>
        <v>0</v>
      </c>
      <c r="F38" s="1046" t="s">
        <v>8</v>
      </c>
      <c r="G38" s="1052" t="s">
        <v>8</v>
      </c>
      <c r="H38" s="1032" t="s">
        <v>8</v>
      </c>
      <c r="I38" s="97" t="s">
        <v>8</v>
      </c>
    </row>
    <row r="39" spans="1:9" ht="16.5" thickTop="1" thickBot="1">
      <c r="A39" s="97" t="s">
        <v>8</v>
      </c>
      <c r="B39" s="1034" t="s">
        <v>8</v>
      </c>
      <c r="C39" s="97" t="s">
        <v>8</v>
      </c>
      <c r="D39" s="97" t="s">
        <v>8</v>
      </c>
      <c r="E39" s="98" t="s">
        <v>8</v>
      </c>
      <c r="F39" s="97" t="s">
        <v>8</v>
      </c>
      <c r="G39" s="1033" t="s">
        <v>8</v>
      </c>
      <c r="H39" s="97" t="s">
        <v>8</v>
      </c>
      <c r="I39" s="97" t="s">
        <v>8</v>
      </c>
    </row>
    <row r="40" spans="1:9" ht="15.75" thickTop="1">
      <c r="A40" s="97" t="s">
        <v>8</v>
      </c>
      <c r="B40" s="1053" t="s">
        <v>8</v>
      </c>
      <c r="C40" s="1028" t="s">
        <v>8</v>
      </c>
      <c r="D40" s="1028" t="s">
        <v>8</v>
      </c>
      <c r="E40" s="1054" t="s">
        <v>8</v>
      </c>
      <c r="F40" s="1028" t="s">
        <v>8</v>
      </c>
      <c r="G40" s="1055" t="s">
        <v>8</v>
      </c>
      <c r="H40" s="1029" t="s">
        <v>8</v>
      </c>
      <c r="I40" s="97" t="s">
        <v>8</v>
      </c>
    </row>
    <row r="41" spans="1:9">
      <c r="A41" s="97" t="s">
        <v>8</v>
      </c>
      <c r="B41" s="1036" t="s">
        <v>8</v>
      </c>
      <c r="C41" s="2067" t="s">
        <v>8</v>
      </c>
      <c r="D41" s="2069" t="s">
        <v>114</v>
      </c>
      <c r="E41" s="2068">
        <f>ABS(E13+$E$20-$E$38+$E$26-$E$32)</f>
        <v>51970</v>
      </c>
      <c r="F41" s="2067" t="s">
        <v>8</v>
      </c>
      <c r="G41" s="2071" t="s">
        <v>8</v>
      </c>
      <c r="H41" s="1037" t="s">
        <v>8</v>
      </c>
      <c r="I41" s="97" t="s">
        <v>8</v>
      </c>
    </row>
    <row r="42" spans="1:9">
      <c r="A42" s="97" t="s">
        <v>8</v>
      </c>
      <c r="B42" s="1036" t="s">
        <v>8</v>
      </c>
      <c r="C42" s="2067" t="s">
        <v>8</v>
      </c>
      <c r="D42" s="2069" t="s">
        <v>115</v>
      </c>
      <c r="E42" s="2068">
        <v>51970</v>
      </c>
      <c r="F42" s="2067" t="s">
        <v>8</v>
      </c>
      <c r="G42" s="2071" t="s">
        <v>8</v>
      </c>
      <c r="H42" s="1037" t="s">
        <v>8</v>
      </c>
      <c r="I42" s="97" t="s">
        <v>29</v>
      </c>
    </row>
    <row r="43" spans="1:9" ht="15.75" thickBot="1">
      <c r="A43" s="97" t="s">
        <v>8</v>
      </c>
      <c r="B43" s="1038" t="s">
        <v>8</v>
      </c>
      <c r="C43" s="1031" t="s">
        <v>8</v>
      </c>
      <c r="D43" s="1039" t="s">
        <v>117</v>
      </c>
      <c r="E43" s="1040">
        <f>$E$42-$E$41</f>
        <v>0</v>
      </c>
      <c r="F43" s="1031" t="s">
        <v>8</v>
      </c>
      <c r="G43" s="1041" t="s">
        <v>8</v>
      </c>
      <c r="H43" s="1032" t="s">
        <v>8</v>
      </c>
      <c r="I43" s="97" t="s">
        <v>8</v>
      </c>
    </row>
    <row r="44" spans="1:9" ht="16.5" thickTop="1" thickBot="1">
      <c r="A44" s="97" t="s">
        <v>8</v>
      </c>
      <c r="B44" s="1034" t="s">
        <v>8</v>
      </c>
      <c r="C44" s="97" t="s">
        <v>8</v>
      </c>
      <c r="D44" s="97" t="s">
        <v>8</v>
      </c>
      <c r="E44" s="98" t="s">
        <v>8</v>
      </c>
      <c r="F44" s="97" t="s">
        <v>8</v>
      </c>
      <c r="G44" s="1033" t="s">
        <v>8</v>
      </c>
      <c r="H44" s="97" t="s">
        <v>8</v>
      </c>
      <c r="I44" s="97" t="s">
        <v>8</v>
      </c>
    </row>
    <row r="45" spans="1:9" ht="15.75" thickTop="1">
      <c r="A45" s="97" t="s">
        <v>8</v>
      </c>
      <c r="B45" s="1053" t="s">
        <v>8</v>
      </c>
      <c r="C45" s="1028" t="s">
        <v>8</v>
      </c>
      <c r="D45" s="1035" t="s">
        <v>118</v>
      </c>
      <c r="E45" s="1059" t="s">
        <v>119</v>
      </c>
      <c r="F45" s="1035" t="s">
        <v>120</v>
      </c>
      <c r="G45" s="1055">
        <v>45981</v>
      </c>
      <c r="H45" s="1029" t="s">
        <v>8</v>
      </c>
      <c r="I45" s="97" t="s">
        <v>8</v>
      </c>
    </row>
    <row r="46" spans="1:9">
      <c r="A46" s="97" t="s">
        <v>8</v>
      </c>
      <c r="B46" s="1036" t="s">
        <v>8</v>
      </c>
      <c r="C46" s="2067" t="s">
        <v>8</v>
      </c>
      <c r="D46" s="2067" t="s">
        <v>8</v>
      </c>
      <c r="E46" s="2070" t="s">
        <v>8</v>
      </c>
      <c r="F46" s="2067" t="s">
        <v>8</v>
      </c>
      <c r="G46" s="2071" t="s">
        <v>8</v>
      </c>
      <c r="H46" s="1037" t="s">
        <v>8</v>
      </c>
      <c r="I46" s="97" t="s">
        <v>8</v>
      </c>
    </row>
    <row r="47" spans="1:9">
      <c r="A47" s="97" t="s">
        <v>8</v>
      </c>
      <c r="B47" s="1036" t="s">
        <v>8</v>
      </c>
      <c r="C47" s="2067" t="s">
        <v>8</v>
      </c>
      <c r="D47" s="2067" t="s">
        <v>8</v>
      </c>
      <c r="E47" s="2070" t="s">
        <v>8</v>
      </c>
      <c r="F47" s="2067" t="s">
        <v>8</v>
      </c>
      <c r="G47" s="2071" t="s">
        <v>8</v>
      </c>
      <c r="H47" s="1037" t="s">
        <v>8</v>
      </c>
      <c r="I47" s="97" t="s">
        <v>8</v>
      </c>
    </row>
    <row r="48" spans="1:9">
      <c r="A48" s="97" t="s">
        <v>8</v>
      </c>
      <c r="B48" s="1036" t="s">
        <v>8</v>
      </c>
      <c r="C48" s="2067" t="s">
        <v>8</v>
      </c>
      <c r="D48" s="2069" t="s">
        <v>121</v>
      </c>
      <c r="E48" s="2068" t="s">
        <v>8</v>
      </c>
      <c r="F48" s="2069" t="s">
        <v>120</v>
      </c>
      <c r="G48" s="2071" t="s">
        <v>8</v>
      </c>
      <c r="H48" s="1037" t="s">
        <v>8</v>
      </c>
      <c r="I48" s="97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topLeftCell="A12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3" bestFit="1" customWidth="1"/>
    <col min="5" max="5" width="24.5703125" bestFit="1" customWidth="1"/>
    <col min="6" max="6" width="28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196</v>
      </c>
    </row>
    <row r="2" spans="1:9">
      <c r="A2" s="100" t="s">
        <v>8</v>
      </c>
      <c r="B2" s="100" t="s">
        <v>8</v>
      </c>
      <c r="C2" s="100" t="s">
        <v>8</v>
      </c>
      <c r="D2" s="100" t="s">
        <v>8</v>
      </c>
      <c r="E2" s="100" t="s">
        <v>8</v>
      </c>
      <c r="F2" s="100" t="s">
        <v>8</v>
      </c>
      <c r="G2" s="100" t="s">
        <v>8</v>
      </c>
      <c r="H2" s="100" t="s">
        <v>8</v>
      </c>
      <c r="I2" s="100" t="s">
        <v>8</v>
      </c>
    </row>
    <row r="3" spans="1:9" ht="15.75" thickBot="1">
      <c r="A3" s="100" t="s">
        <v>8</v>
      </c>
      <c r="B3" s="100" t="s">
        <v>8</v>
      </c>
      <c r="C3" s="100" t="s">
        <v>8</v>
      </c>
      <c r="D3" s="100" t="s">
        <v>8</v>
      </c>
      <c r="E3" s="100" t="s">
        <v>8</v>
      </c>
      <c r="F3" s="100" t="s">
        <v>8</v>
      </c>
      <c r="G3" s="100" t="s">
        <v>8</v>
      </c>
      <c r="H3" s="100" t="s">
        <v>8</v>
      </c>
      <c r="I3" s="100" t="s">
        <v>8</v>
      </c>
    </row>
    <row r="4" spans="1:9" ht="16.5" thickTop="1" thickBot="1">
      <c r="A4" s="100" t="s">
        <v>8</v>
      </c>
      <c r="B4" s="100" t="s">
        <v>14</v>
      </c>
      <c r="C4" s="100" t="s">
        <v>8</v>
      </c>
      <c r="D4" s="1061" t="s">
        <v>15</v>
      </c>
      <c r="E4" s="100" t="s">
        <v>16</v>
      </c>
      <c r="F4" s="1061" t="s">
        <v>223</v>
      </c>
      <c r="G4" s="100" t="s">
        <v>8</v>
      </c>
      <c r="H4" s="100" t="s">
        <v>8</v>
      </c>
      <c r="I4" s="100" t="s">
        <v>8</v>
      </c>
    </row>
    <row r="5" spans="1:9" ht="16.5" thickTop="1" thickBot="1">
      <c r="A5" s="100" t="s">
        <v>8</v>
      </c>
      <c r="B5" s="100" t="s">
        <v>8</v>
      </c>
      <c r="C5" s="100" t="s">
        <v>8</v>
      </c>
      <c r="D5" s="100" t="s">
        <v>8</v>
      </c>
      <c r="E5" s="100" t="s">
        <v>8</v>
      </c>
      <c r="F5" s="100" t="s">
        <v>8</v>
      </c>
      <c r="G5" s="100" t="s">
        <v>8</v>
      </c>
      <c r="H5" s="100" t="s">
        <v>8</v>
      </c>
      <c r="I5" s="100" t="s">
        <v>8</v>
      </c>
    </row>
    <row r="6" spans="1:9" ht="16.5" thickTop="1" thickBot="1">
      <c r="A6" s="100" t="s">
        <v>8</v>
      </c>
      <c r="B6" s="100" t="s">
        <v>18</v>
      </c>
      <c r="C6" s="100" t="s">
        <v>8</v>
      </c>
      <c r="D6" s="1061" t="s">
        <v>19</v>
      </c>
      <c r="E6" s="100" t="s">
        <v>20</v>
      </c>
      <c r="F6" s="1061" t="s">
        <v>233</v>
      </c>
      <c r="G6" s="100" t="s">
        <v>8</v>
      </c>
      <c r="H6" s="100" t="s">
        <v>8</v>
      </c>
      <c r="I6" s="100" t="s">
        <v>8</v>
      </c>
    </row>
    <row r="7" spans="1:9" ht="16.5" thickTop="1" thickBot="1">
      <c r="A7" s="100" t="s">
        <v>8</v>
      </c>
      <c r="B7" s="100" t="s">
        <v>8</v>
      </c>
      <c r="C7" s="100" t="s">
        <v>8</v>
      </c>
      <c r="D7" s="100" t="s">
        <v>8</v>
      </c>
      <c r="E7" s="100" t="s">
        <v>8</v>
      </c>
      <c r="F7" s="100" t="s">
        <v>8</v>
      </c>
      <c r="G7" s="100" t="s">
        <v>8</v>
      </c>
      <c r="H7" s="100" t="s">
        <v>8</v>
      </c>
      <c r="I7" s="100" t="s">
        <v>8</v>
      </c>
    </row>
    <row r="8" spans="1:9" ht="16.5" thickTop="1" thickBot="1">
      <c r="A8" s="100" t="s">
        <v>8</v>
      </c>
      <c r="B8" s="100" t="s">
        <v>22</v>
      </c>
      <c r="C8" s="100" t="s">
        <v>8</v>
      </c>
      <c r="D8" s="1061" t="s">
        <v>11</v>
      </c>
      <c r="E8" s="100" t="s">
        <v>23</v>
      </c>
      <c r="F8" s="1061" t="s">
        <v>225</v>
      </c>
      <c r="G8" s="100" t="s">
        <v>8</v>
      </c>
      <c r="H8" s="100" t="s">
        <v>8</v>
      </c>
      <c r="I8" s="100" t="s">
        <v>8</v>
      </c>
    </row>
    <row r="9" spans="1:9" ht="16.5" thickTop="1" thickBot="1">
      <c r="A9" s="100" t="s">
        <v>8</v>
      </c>
      <c r="B9" s="100" t="s">
        <v>8</v>
      </c>
      <c r="C9" s="100" t="s">
        <v>8</v>
      </c>
      <c r="D9" s="100" t="s">
        <v>8</v>
      </c>
      <c r="E9" s="100" t="s">
        <v>8</v>
      </c>
      <c r="F9" s="100" t="s">
        <v>8</v>
      </c>
      <c r="G9" s="100" t="s">
        <v>8</v>
      </c>
      <c r="H9" s="100" t="s">
        <v>8</v>
      </c>
      <c r="I9" s="100" t="s">
        <v>8</v>
      </c>
    </row>
    <row r="10" spans="1:9" ht="16.5" thickTop="1" thickBot="1">
      <c r="A10" s="100" t="s">
        <v>8</v>
      </c>
      <c r="B10" s="100" t="s">
        <v>25</v>
      </c>
      <c r="C10" s="100" t="s">
        <v>8</v>
      </c>
      <c r="D10" s="1061" t="s">
        <v>26</v>
      </c>
      <c r="E10" s="100" t="s">
        <v>8</v>
      </c>
      <c r="F10" s="100" t="s">
        <v>8</v>
      </c>
      <c r="G10" s="100" t="s">
        <v>8</v>
      </c>
      <c r="H10" s="100" t="s">
        <v>8</v>
      </c>
      <c r="I10" s="100" t="s">
        <v>8</v>
      </c>
    </row>
    <row r="11" spans="1:9" ht="16.5" thickTop="1" thickBot="1">
      <c r="A11" s="100" t="s">
        <v>8</v>
      </c>
      <c r="B11" s="100" t="s">
        <v>8</v>
      </c>
      <c r="C11" s="100" t="s">
        <v>8</v>
      </c>
      <c r="D11" s="100" t="s">
        <v>8</v>
      </c>
      <c r="E11" s="100" t="s">
        <v>8</v>
      </c>
      <c r="F11" s="100" t="s">
        <v>8</v>
      </c>
      <c r="G11" s="100" t="s">
        <v>8</v>
      </c>
      <c r="H11" s="100" t="s">
        <v>8</v>
      </c>
      <c r="I11" s="100" t="s">
        <v>8</v>
      </c>
    </row>
    <row r="12" spans="1:9" ht="16.5" thickTop="1" thickBot="1">
      <c r="A12" s="100" t="s">
        <v>8</v>
      </c>
      <c r="B12" s="1062" t="s">
        <v>8</v>
      </c>
      <c r="C12" s="1063" t="s">
        <v>8</v>
      </c>
      <c r="D12" s="1063" t="s">
        <v>8</v>
      </c>
      <c r="E12" s="1063" t="s">
        <v>8</v>
      </c>
      <c r="F12" s="1063" t="s">
        <v>8</v>
      </c>
      <c r="G12" s="1063" t="s">
        <v>8</v>
      </c>
      <c r="H12" s="1064" t="s">
        <v>8</v>
      </c>
      <c r="I12" s="100" t="s">
        <v>8</v>
      </c>
    </row>
    <row r="13" spans="1:9" ht="16.5" thickTop="1" thickBot="1">
      <c r="A13" s="100" t="s">
        <v>8</v>
      </c>
      <c r="B13" s="1065" t="s">
        <v>8</v>
      </c>
      <c r="C13" s="1060" t="s">
        <v>11</v>
      </c>
      <c r="D13" s="1066" t="s">
        <v>28</v>
      </c>
      <c r="E13" s="1075">
        <v>336633.39</v>
      </c>
      <c r="F13" s="1066" t="s">
        <v>8</v>
      </c>
      <c r="G13" s="1066" t="s">
        <v>8</v>
      </c>
      <c r="H13" s="1067" t="s">
        <v>8</v>
      </c>
      <c r="I13" s="100" t="s">
        <v>29</v>
      </c>
    </row>
    <row r="14" spans="1:9" ht="16.5" thickTop="1" thickBot="1">
      <c r="A14" s="100" t="s">
        <v>8</v>
      </c>
      <c r="B14" s="100" t="s">
        <v>8</v>
      </c>
      <c r="C14" s="100" t="s">
        <v>8</v>
      </c>
      <c r="D14" s="100" t="s">
        <v>8</v>
      </c>
      <c r="E14" s="100" t="s">
        <v>8</v>
      </c>
      <c r="F14" s="100" t="s">
        <v>8</v>
      </c>
      <c r="G14" s="100" t="s">
        <v>8</v>
      </c>
      <c r="H14" s="100" t="s">
        <v>8</v>
      </c>
      <c r="I14" s="100" t="s">
        <v>8</v>
      </c>
    </row>
    <row r="15" spans="1:9" ht="16.5" thickTop="1" thickBot="1">
      <c r="A15" s="100" t="s">
        <v>8</v>
      </c>
      <c r="B15" s="1061" t="s">
        <v>30</v>
      </c>
      <c r="C15" s="1060" t="s">
        <v>31</v>
      </c>
      <c r="D15" s="1060" t="s">
        <v>32</v>
      </c>
      <c r="E15" s="1060" t="s">
        <v>33</v>
      </c>
      <c r="F15" s="1060" t="s">
        <v>34</v>
      </c>
      <c r="G15" s="1060" t="s">
        <v>35</v>
      </c>
      <c r="H15" s="1060" t="s">
        <v>36</v>
      </c>
      <c r="I15" s="100" t="s">
        <v>8</v>
      </c>
    </row>
    <row r="16" spans="1:9" ht="16.5" thickTop="1" thickBot="1">
      <c r="A16" s="100" t="s">
        <v>8</v>
      </c>
      <c r="B16" s="100" t="s">
        <v>8</v>
      </c>
      <c r="C16" s="100" t="s">
        <v>8</v>
      </c>
      <c r="D16" s="100" t="s">
        <v>8</v>
      </c>
      <c r="E16" s="100" t="s">
        <v>8</v>
      </c>
      <c r="F16" s="100" t="s">
        <v>8</v>
      </c>
      <c r="G16" s="100" t="s">
        <v>8</v>
      </c>
      <c r="H16" s="100" t="s">
        <v>8</v>
      </c>
      <c r="I16" s="100" t="s">
        <v>8</v>
      </c>
    </row>
    <row r="17" spans="1:9" ht="15.75" thickTop="1">
      <c r="A17" s="100" t="s">
        <v>8</v>
      </c>
      <c r="B17" s="1077" t="s">
        <v>8</v>
      </c>
      <c r="C17" s="1077" t="s">
        <v>8</v>
      </c>
      <c r="D17" s="1082" t="s">
        <v>226</v>
      </c>
      <c r="E17" s="1077" t="s">
        <v>8</v>
      </c>
      <c r="F17" s="1077" t="s">
        <v>8</v>
      </c>
      <c r="G17" s="1077" t="s">
        <v>8</v>
      </c>
      <c r="H17" s="1064" t="s">
        <v>8</v>
      </c>
      <c r="I17" s="100" t="s">
        <v>8</v>
      </c>
    </row>
    <row r="18" spans="1:9">
      <c r="A18" s="100" t="s">
        <v>8</v>
      </c>
      <c r="B18" s="1078" t="s">
        <v>8</v>
      </c>
      <c r="C18" s="1080" t="s">
        <v>8</v>
      </c>
      <c r="D18" s="1080" t="s">
        <v>8</v>
      </c>
      <c r="E18" s="1084" t="s">
        <v>8</v>
      </c>
      <c r="F18" s="1080" t="s">
        <v>8</v>
      </c>
      <c r="G18" s="1086" t="s">
        <v>8</v>
      </c>
      <c r="H18" s="1072" t="s">
        <v>8</v>
      </c>
      <c r="I18" s="100" t="s">
        <v>8</v>
      </c>
    </row>
    <row r="19" spans="1:9">
      <c r="A19" s="100" t="s">
        <v>8</v>
      </c>
      <c r="B19" s="1078" t="s">
        <v>8</v>
      </c>
      <c r="C19" s="1080" t="s">
        <v>8</v>
      </c>
      <c r="D19" s="1080" t="s">
        <v>8</v>
      </c>
      <c r="E19" s="1084" t="s">
        <v>8</v>
      </c>
      <c r="F19" s="1080" t="s">
        <v>8</v>
      </c>
      <c r="G19" s="1086" t="s">
        <v>8</v>
      </c>
      <c r="H19" s="1072" t="s">
        <v>8</v>
      </c>
      <c r="I19" s="100" t="s">
        <v>8</v>
      </c>
    </row>
    <row r="20" spans="1:9" ht="15.75" thickBot="1">
      <c r="A20" s="100" t="s">
        <v>8</v>
      </c>
      <c r="B20" s="1079" t="s">
        <v>8</v>
      </c>
      <c r="C20" s="1081" t="s">
        <v>8</v>
      </c>
      <c r="D20" s="1083" t="s">
        <v>51</v>
      </c>
      <c r="E20" s="1085">
        <f>SUM($E$18:$E$19)</f>
        <v>0</v>
      </c>
      <c r="F20" s="1081" t="s">
        <v>8</v>
      </c>
      <c r="G20" s="1087" t="s">
        <v>8</v>
      </c>
      <c r="H20" s="1067" t="s">
        <v>8</v>
      </c>
      <c r="I20" s="100" t="s">
        <v>8</v>
      </c>
    </row>
    <row r="21" spans="1:9" ht="15.75" thickTop="1">
      <c r="A21" s="100" t="s">
        <v>8</v>
      </c>
      <c r="B21" s="1069" t="s">
        <v>8</v>
      </c>
      <c r="C21" s="100" t="s">
        <v>8</v>
      </c>
      <c r="D21" s="100" t="s">
        <v>8</v>
      </c>
      <c r="E21" s="101" t="s">
        <v>8</v>
      </c>
      <c r="F21" s="100" t="s">
        <v>8</v>
      </c>
      <c r="G21" s="1068" t="s">
        <v>8</v>
      </c>
      <c r="H21" s="100" t="s">
        <v>8</v>
      </c>
      <c r="I21" s="100" t="s">
        <v>8</v>
      </c>
    </row>
    <row r="22" spans="1:9" ht="15.75" thickBot="1">
      <c r="A22" s="100" t="s">
        <v>8</v>
      </c>
      <c r="B22" s="1069" t="s">
        <v>8</v>
      </c>
      <c r="C22" s="100" t="s">
        <v>8</v>
      </c>
      <c r="D22" s="100" t="s">
        <v>8</v>
      </c>
      <c r="E22" s="101" t="s">
        <v>8</v>
      </c>
      <c r="F22" s="100" t="s">
        <v>8</v>
      </c>
      <c r="G22" s="1068" t="s">
        <v>8</v>
      </c>
      <c r="H22" s="100" t="s">
        <v>8</v>
      </c>
      <c r="I22" s="100" t="s">
        <v>8</v>
      </c>
    </row>
    <row r="23" spans="1:9" ht="15.75" thickTop="1">
      <c r="A23" s="100" t="s">
        <v>8</v>
      </c>
      <c r="B23" s="1091" t="s">
        <v>8</v>
      </c>
      <c r="C23" s="1077" t="s">
        <v>8</v>
      </c>
      <c r="D23" s="1082" t="s">
        <v>227</v>
      </c>
      <c r="E23" s="1092" t="s">
        <v>8</v>
      </c>
      <c r="F23" s="1077" t="s">
        <v>8</v>
      </c>
      <c r="G23" s="1093" t="s">
        <v>8</v>
      </c>
      <c r="H23" s="1064" t="s">
        <v>8</v>
      </c>
      <c r="I23" s="100" t="s">
        <v>8</v>
      </c>
    </row>
    <row r="24" spans="1:9">
      <c r="A24" s="100" t="s">
        <v>8</v>
      </c>
      <c r="B24" s="1078" t="s">
        <v>8</v>
      </c>
      <c r="C24" s="1080" t="s">
        <v>8</v>
      </c>
      <c r="D24" s="1080" t="s">
        <v>8</v>
      </c>
      <c r="E24" s="1084" t="s">
        <v>8</v>
      </c>
      <c r="F24" s="1080" t="s">
        <v>8</v>
      </c>
      <c r="G24" s="1086" t="s">
        <v>8</v>
      </c>
      <c r="H24" s="1072" t="s">
        <v>8</v>
      </c>
      <c r="I24" s="100" t="s">
        <v>8</v>
      </c>
    </row>
    <row r="25" spans="1:9">
      <c r="A25" s="100" t="s">
        <v>8</v>
      </c>
      <c r="B25" s="1078" t="s">
        <v>8</v>
      </c>
      <c r="C25" s="1080" t="s">
        <v>8</v>
      </c>
      <c r="D25" s="1080" t="s">
        <v>8</v>
      </c>
      <c r="E25" s="1084" t="s">
        <v>8</v>
      </c>
      <c r="F25" s="1080" t="s">
        <v>8</v>
      </c>
      <c r="G25" s="1086" t="s">
        <v>8</v>
      </c>
      <c r="H25" s="1072" t="s">
        <v>8</v>
      </c>
      <c r="I25" s="100" t="s">
        <v>8</v>
      </c>
    </row>
    <row r="26" spans="1:9" ht="15.75" thickBot="1">
      <c r="A26" s="100" t="s">
        <v>8</v>
      </c>
      <c r="B26" s="1079" t="s">
        <v>8</v>
      </c>
      <c r="C26" s="1081" t="s">
        <v>8</v>
      </c>
      <c r="D26" s="1083" t="s">
        <v>51</v>
      </c>
      <c r="E26" s="1085">
        <f>SUM($E$24:$E$25)</f>
        <v>0</v>
      </c>
      <c r="F26" s="1081" t="s">
        <v>8</v>
      </c>
      <c r="G26" s="1087" t="s">
        <v>8</v>
      </c>
      <c r="H26" s="1067" t="s">
        <v>8</v>
      </c>
      <c r="I26" s="100" t="s">
        <v>8</v>
      </c>
    </row>
    <row r="27" spans="1:9" ht="15.75" thickTop="1">
      <c r="A27" s="100" t="s">
        <v>8</v>
      </c>
      <c r="B27" s="1069" t="s">
        <v>8</v>
      </c>
      <c r="C27" s="100" t="s">
        <v>8</v>
      </c>
      <c r="D27" s="100" t="s">
        <v>8</v>
      </c>
      <c r="E27" s="101" t="s">
        <v>8</v>
      </c>
      <c r="F27" s="100" t="s">
        <v>8</v>
      </c>
      <c r="G27" s="1068" t="s">
        <v>8</v>
      </c>
      <c r="H27" s="100" t="s">
        <v>8</v>
      </c>
      <c r="I27" s="100" t="s">
        <v>8</v>
      </c>
    </row>
    <row r="28" spans="1:9" ht="15.75" thickBot="1">
      <c r="A28" s="100" t="s">
        <v>8</v>
      </c>
      <c r="B28" s="1069" t="s">
        <v>8</v>
      </c>
      <c r="C28" s="100" t="s">
        <v>8</v>
      </c>
      <c r="D28" s="100" t="s">
        <v>8</v>
      </c>
      <c r="E28" s="101" t="s">
        <v>8</v>
      </c>
      <c r="F28" s="100" t="s">
        <v>8</v>
      </c>
      <c r="G28" s="1068" t="s">
        <v>8</v>
      </c>
      <c r="H28" s="100" t="s">
        <v>8</v>
      </c>
      <c r="I28" s="100" t="s">
        <v>8</v>
      </c>
    </row>
    <row r="29" spans="1:9" ht="15.75" thickTop="1">
      <c r="A29" s="100" t="s">
        <v>8</v>
      </c>
      <c r="B29" s="1091" t="s">
        <v>8</v>
      </c>
      <c r="C29" s="1077" t="s">
        <v>8</v>
      </c>
      <c r="D29" s="1082" t="s">
        <v>228</v>
      </c>
      <c r="E29" s="1092" t="s">
        <v>8</v>
      </c>
      <c r="F29" s="1077" t="s">
        <v>8</v>
      </c>
      <c r="G29" s="1093" t="s">
        <v>8</v>
      </c>
      <c r="H29" s="1064" t="s">
        <v>8</v>
      </c>
      <c r="I29" s="100" t="s">
        <v>8</v>
      </c>
    </row>
    <row r="30" spans="1:9">
      <c r="A30" s="100" t="s">
        <v>8</v>
      </c>
      <c r="B30" s="1078" t="s">
        <v>8</v>
      </c>
      <c r="C30" s="1080" t="s">
        <v>8</v>
      </c>
      <c r="D30" s="1080" t="s">
        <v>8</v>
      </c>
      <c r="E30" s="1084" t="s">
        <v>8</v>
      </c>
      <c r="F30" s="1080" t="s">
        <v>8</v>
      </c>
      <c r="G30" s="1086" t="s">
        <v>8</v>
      </c>
      <c r="H30" s="1072" t="s">
        <v>8</v>
      </c>
      <c r="I30" s="100" t="s">
        <v>8</v>
      </c>
    </row>
    <row r="31" spans="1:9">
      <c r="A31" s="100" t="s">
        <v>8</v>
      </c>
      <c r="B31" s="1078" t="s">
        <v>8</v>
      </c>
      <c r="C31" s="1080" t="s">
        <v>8</v>
      </c>
      <c r="D31" s="1080" t="s">
        <v>8</v>
      </c>
      <c r="E31" s="1084" t="s">
        <v>8</v>
      </c>
      <c r="F31" s="1080" t="s">
        <v>8</v>
      </c>
      <c r="G31" s="1086" t="s">
        <v>8</v>
      </c>
      <c r="H31" s="1072" t="s">
        <v>8</v>
      </c>
      <c r="I31" s="100" t="s">
        <v>8</v>
      </c>
    </row>
    <row r="32" spans="1:9" ht="15.75" thickBot="1">
      <c r="A32" s="100" t="s">
        <v>8</v>
      </c>
      <c r="B32" s="1079" t="s">
        <v>8</v>
      </c>
      <c r="C32" s="1081" t="s">
        <v>8</v>
      </c>
      <c r="D32" s="1083" t="s">
        <v>51</v>
      </c>
      <c r="E32" s="1085">
        <f>SUM($E$30:$E$31)</f>
        <v>0</v>
      </c>
      <c r="F32" s="1081" t="s">
        <v>8</v>
      </c>
      <c r="G32" s="1087" t="s">
        <v>8</v>
      </c>
      <c r="H32" s="1067" t="s">
        <v>8</v>
      </c>
      <c r="I32" s="100" t="s">
        <v>8</v>
      </c>
    </row>
    <row r="33" spans="1:9" ht="15.75" thickTop="1">
      <c r="A33" s="100" t="s">
        <v>8</v>
      </c>
      <c r="B33" s="1069" t="s">
        <v>8</v>
      </c>
      <c r="C33" s="100" t="s">
        <v>8</v>
      </c>
      <c r="D33" s="100" t="s">
        <v>8</v>
      </c>
      <c r="E33" s="101" t="s">
        <v>8</v>
      </c>
      <c r="F33" s="100" t="s">
        <v>8</v>
      </c>
      <c r="G33" s="1068" t="s">
        <v>8</v>
      </c>
      <c r="H33" s="100" t="s">
        <v>8</v>
      </c>
      <c r="I33" s="100" t="s">
        <v>8</v>
      </c>
    </row>
    <row r="34" spans="1:9" ht="15.75" thickBot="1">
      <c r="A34" s="100" t="s">
        <v>8</v>
      </c>
      <c r="B34" s="1069" t="s">
        <v>8</v>
      </c>
      <c r="C34" s="100" t="s">
        <v>8</v>
      </c>
      <c r="D34" s="100" t="s">
        <v>8</v>
      </c>
      <c r="E34" s="101" t="s">
        <v>8</v>
      </c>
      <c r="F34" s="100" t="s">
        <v>8</v>
      </c>
      <c r="G34" s="1068" t="s">
        <v>8</v>
      </c>
      <c r="H34" s="100" t="s">
        <v>8</v>
      </c>
      <c r="I34" s="100" t="s">
        <v>8</v>
      </c>
    </row>
    <row r="35" spans="1:9" ht="15.75" thickTop="1">
      <c r="A35" s="100" t="s">
        <v>8</v>
      </c>
      <c r="B35" s="1091" t="s">
        <v>8</v>
      </c>
      <c r="C35" s="1077" t="s">
        <v>8</v>
      </c>
      <c r="D35" s="1082" t="s">
        <v>229</v>
      </c>
      <c r="E35" s="1092" t="s">
        <v>8</v>
      </c>
      <c r="F35" s="1077" t="s">
        <v>8</v>
      </c>
      <c r="G35" s="1093" t="s">
        <v>8</v>
      </c>
      <c r="H35" s="1064" t="s">
        <v>8</v>
      </c>
      <c r="I35" s="100" t="s">
        <v>8</v>
      </c>
    </row>
    <row r="36" spans="1:9">
      <c r="A36" s="100" t="s">
        <v>8</v>
      </c>
      <c r="B36" s="1078" t="s">
        <v>8</v>
      </c>
      <c r="C36" s="1080" t="s">
        <v>8</v>
      </c>
      <c r="D36" s="1080" t="s">
        <v>8</v>
      </c>
      <c r="E36" s="1084" t="s">
        <v>8</v>
      </c>
      <c r="F36" s="1080" t="s">
        <v>8</v>
      </c>
      <c r="G36" s="1086" t="s">
        <v>8</v>
      </c>
      <c r="H36" s="1072" t="s">
        <v>8</v>
      </c>
      <c r="I36" s="100" t="s">
        <v>8</v>
      </c>
    </row>
    <row r="37" spans="1:9">
      <c r="A37" s="100" t="s">
        <v>8</v>
      </c>
      <c r="B37" s="1078" t="s">
        <v>8</v>
      </c>
      <c r="C37" s="1080" t="s">
        <v>8</v>
      </c>
      <c r="D37" s="1080" t="s">
        <v>8</v>
      </c>
      <c r="E37" s="1084" t="s">
        <v>8</v>
      </c>
      <c r="F37" s="1080" t="s">
        <v>8</v>
      </c>
      <c r="G37" s="1086" t="s">
        <v>8</v>
      </c>
      <c r="H37" s="1072" t="s">
        <v>8</v>
      </c>
      <c r="I37" s="100" t="s">
        <v>8</v>
      </c>
    </row>
    <row r="38" spans="1:9" ht="15.75" thickBot="1">
      <c r="A38" s="100" t="s">
        <v>8</v>
      </c>
      <c r="B38" s="1079" t="s">
        <v>8</v>
      </c>
      <c r="C38" s="1081" t="s">
        <v>8</v>
      </c>
      <c r="D38" s="1083" t="s">
        <v>51</v>
      </c>
      <c r="E38" s="1085">
        <f>SUM($E$36:$E$37)</f>
        <v>0</v>
      </c>
      <c r="F38" s="1081" t="s">
        <v>8</v>
      </c>
      <c r="G38" s="1087" t="s">
        <v>8</v>
      </c>
      <c r="H38" s="1067" t="s">
        <v>8</v>
      </c>
      <c r="I38" s="100" t="s">
        <v>8</v>
      </c>
    </row>
    <row r="39" spans="1:9" ht="16.5" thickTop="1" thickBot="1">
      <c r="A39" s="100" t="s">
        <v>8</v>
      </c>
      <c r="B39" s="1069" t="s">
        <v>8</v>
      </c>
      <c r="C39" s="100" t="s">
        <v>8</v>
      </c>
      <c r="D39" s="100" t="s">
        <v>8</v>
      </c>
      <c r="E39" s="101" t="s">
        <v>8</v>
      </c>
      <c r="F39" s="100" t="s">
        <v>8</v>
      </c>
      <c r="G39" s="1068" t="s">
        <v>8</v>
      </c>
      <c r="H39" s="100" t="s">
        <v>8</v>
      </c>
      <c r="I39" s="100" t="s">
        <v>8</v>
      </c>
    </row>
    <row r="40" spans="1:9" ht="15.75" thickTop="1">
      <c r="A40" s="100" t="s">
        <v>8</v>
      </c>
      <c r="B40" s="1088" t="s">
        <v>8</v>
      </c>
      <c r="C40" s="1063" t="s">
        <v>8</v>
      </c>
      <c r="D40" s="1063" t="s">
        <v>8</v>
      </c>
      <c r="E40" s="1089" t="s">
        <v>8</v>
      </c>
      <c r="F40" s="1063" t="s">
        <v>8</v>
      </c>
      <c r="G40" s="1090" t="s">
        <v>8</v>
      </c>
      <c r="H40" s="1064" t="s">
        <v>8</v>
      </c>
      <c r="I40" s="100" t="s">
        <v>8</v>
      </c>
    </row>
    <row r="41" spans="1:9">
      <c r="A41" s="100" t="s">
        <v>8</v>
      </c>
      <c r="B41" s="1071" t="s">
        <v>8</v>
      </c>
      <c r="C41" s="2072" t="s">
        <v>8</v>
      </c>
      <c r="D41" s="2074" t="s">
        <v>114</v>
      </c>
      <c r="E41" s="2073">
        <f>ABS(E13+$E$20-$E$38+$E$26-$E$32)</f>
        <v>336633.39</v>
      </c>
      <c r="F41" s="2072" t="s">
        <v>8</v>
      </c>
      <c r="G41" s="2076" t="s">
        <v>8</v>
      </c>
      <c r="H41" s="1072" t="s">
        <v>8</v>
      </c>
      <c r="I41" s="100" t="s">
        <v>8</v>
      </c>
    </row>
    <row r="42" spans="1:9">
      <c r="A42" s="100" t="s">
        <v>8</v>
      </c>
      <c r="B42" s="1071" t="s">
        <v>8</v>
      </c>
      <c r="C42" s="2072" t="s">
        <v>8</v>
      </c>
      <c r="D42" s="2074" t="s">
        <v>115</v>
      </c>
      <c r="E42" s="2073">
        <v>336633.39</v>
      </c>
      <c r="F42" s="2072" t="s">
        <v>8</v>
      </c>
      <c r="G42" s="2076" t="s">
        <v>8</v>
      </c>
      <c r="H42" s="1072" t="s">
        <v>8</v>
      </c>
      <c r="I42" s="100" t="s">
        <v>29</v>
      </c>
    </row>
    <row r="43" spans="1:9" ht="15.75" thickBot="1">
      <c r="A43" s="100" t="s">
        <v>8</v>
      </c>
      <c r="B43" s="1073" t="s">
        <v>8</v>
      </c>
      <c r="C43" s="1066" t="s">
        <v>8</v>
      </c>
      <c r="D43" s="1074" t="s">
        <v>117</v>
      </c>
      <c r="E43" s="1075">
        <f>$E$42-$E$41</f>
        <v>0</v>
      </c>
      <c r="F43" s="1066" t="s">
        <v>8</v>
      </c>
      <c r="G43" s="1076" t="s">
        <v>8</v>
      </c>
      <c r="H43" s="1067" t="s">
        <v>8</v>
      </c>
      <c r="I43" s="100" t="s">
        <v>8</v>
      </c>
    </row>
    <row r="44" spans="1:9" ht="16.5" thickTop="1" thickBot="1">
      <c r="A44" s="100" t="s">
        <v>8</v>
      </c>
      <c r="B44" s="1069" t="s">
        <v>8</v>
      </c>
      <c r="C44" s="100" t="s">
        <v>8</v>
      </c>
      <c r="D44" s="100" t="s">
        <v>8</v>
      </c>
      <c r="E44" s="101" t="s">
        <v>8</v>
      </c>
      <c r="F44" s="100" t="s">
        <v>8</v>
      </c>
      <c r="G44" s="1068" t="s">
        <v>8</v>
      </c>
      <c r="H44" s="100" t="s">
        <v>8</v>
      </c>
      <c r="I44" s="100" t="s">
        <v>8</v>
      </c>
    </row>
    <row r="45" spans="1:9" ht="15.75" thickTop="1">
      <c r="A45" s="100" t="s">
        <v>8</v>
      </c>
      <c r="B45" s="1088" t="s">
        <v>8</v>
      </c>
      <c r="C45" s="1063" t="s">
        <v>8</v>
      </c>
      <c r="D45" s="1070" t="s">
        <v>118</v>
      </c>
      <c r="E45" s="1094" t="s">
        <v>119</v>
      </c>
      <c r="F45" s="1070" t="s">
        <v>120</v>
      </c>
      <c r="G45" s="1090">
        <v>45981</v>
      </c>
      <c r="H45" s="1064" t="s">
        <v>8</v>
      </c>
      <c r="I45" s="100" t="s">
        <v>8</v>
      </c>
    </row>
    <row r="46" spans="1:9">
      <c r="A46" s="100" t="s">
        <v>8</v>
      </c>
      <c r="B46" s="1071" t="s">
        <v>8</v>
      </c>
      <c r="C46" s="2072" t="s">
        <v>8</v>
      </c>
      <c r="D46" s="2072" t="s">
        <v>8</v>
      </c>
      <c r="E46" s="2075" t="s">
        <v>8</v>
      </c>
      <c r="F46" s="2072" t="s">
        <v>8</v>
      </c>
      <c r="G46" s="2076" t="s">
        <v>8</v>
      </c>
      <c r="H46" s="1072" t="s">
        <v>8</v>
      </c>
      <c r="I46" s="100" t="s">
        <v>8</v>
      </c>
    </row>
    <row r="47" spans="1:9">
      <c r="A47" s="100" t="s">
        <v>8</v>
      </c>
      <c r="B47" s="1071" t="s">
        <v>8</v>
      </c>
      <c r="C47" s="2072" t="s">
        <v>8</v>
      </c>
      <c r="D47" s="2072" t="s">
        <v>8</v>
      </c>
      <c r="E47" s="2075" t="s">
        <v>8</v>
      </c>
      <c r="F47" s="2072" t="s">
        <v>8</v>
      </c>
      <c r="G47" s="2076" t="s">
        <v>8</v>
      </c>
      <c r="H47" s="1072" t="s">
        <v>8</v>
      </c>
      <c r="I47" s="100" t="s">
        <v>8</v>
      </c>
    </row>
    <row r="48" spans="1:9">
      <c r="A48" s="100" t="s">
        <v>8</v>
      </c>
      <c r="B48" s="1071" t="s">
        <v>8</v>
      </c>
      <c r="C48" s="2072" t="s">
        <v>8</v>
      </c>
      <c r="D48" s="2074" t="s">
        <v>121</v>
      </c>
      <c r="E48" s="2073" t="s">
        <v>8</v>
      </c>
      <c r="F48" s="2074" t="s">
        <v>120</v>
      </c>
      <c r="G48" s="2076" t="s">
        <v>8</v>
      </c>
      <c r="H48" s="1072" t="s">
        <v>8</v>
      </c>
      <c r="I48" s="100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showGridLines="0" topLeftCell="A17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76.7109375" bestFit="1" customWidth="1"/>
    <col min="5" max="5" width="24.5703125" bestFit="1" customWidth="1"/>
    <col min="6" max="6" width="38.5703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196</v>
      </c>
    </row>
    <row r="2" spans="1:9">
      <c r="A2" s="103" t="s">
        <v>8</v>
      </c>
      <c r="B2" s="103" t="s">
        <v>8</v>
      </c>
      <c r="C2" s="103" t="s">
        <v>8</v>
      </c>
      <c r="D2" s="103" t="s">
        <v>8</v>
      </c>
      <c r="E2" s="103" t="s">
        <v>8</v>
      </c>
      <c r="F2" s="103" t="s">
        <v>8</v>
      </c>
      <c r="G2" s="103" t="s">
        <v>8</v>
      </c>
      <c r="H2" s="103" t="s">
        <v>8</v>
      </c>
      <c r="I2" s="103" t="s">
        <v>8</v>
      </c>
    </row>
    <row r="3" spans="1:9" ht="15.75" thickBot="1">
      <c r="A3" s="103" t="s">
        <v>8</v>
      </c>
      <c r="B3" s="103" t="s">
        <v>8</v>
      </c>
      <c r="C3" s="103" t="s">
        <v>8</v>
      </c>
      <c r="D3" s="103" t="s">
        <v>8</v>
      </c>
      <c r="E3" s="103" t="s">
        <v>8</v>
      </c>
      <c r="F3" s="103" t="s">
        <v>8</v>
      </c>
      <c r="G3" s="103" t="s">
        <v>8</v>
      </c>
      <c r="H3" s="103" t="s">
        <v>8</v>
      </c>
      <c r="I3" s="103" t="s">
        <v>8</v>
      </c>
    </row>
    <row r="4" spans="1:9" ht="16.5" thickTop="1" thickBot="1">
      <c r="A4" s="103" t="s">
        <v>8</v>
      </c>
      <c r="B4" s="103" t="s">
        <v>14</v>
      </c>
      <c r="C4" s="103" t="s">
        <v>8</v>
      </c>
      <c r="D4" s="1096" t="s">
        <v>15</v>
      </c>
      <c r="E4" s="103" t="s">
        <v>16</v>
      </c>
      <c r="F4" s="1096" t="s">
        <v>234</v>
      </c>
      <c r="G4" s="103" t="s">
        <v>8</v>
      </c>
      <c r="H4" s="103" t="s">
        <v>8</v>
      </c>
      <c r="I4" s="103" t="s">
        <v>8</v>
      </c>
    </row>
    <row r="5" spans="1:9" ht="16.5" thickTop="1" thickBot="1">
      <c r="A5" s="103" t="s">
        <v>8</v>
      </c>
      <c r="B5" s="103" t="s">
        <v>8</v>
      </c>
      <c r="C5" s="103" t="s">
        <v>8</v>
      </c>
      <c r="D5" s="103" t="s">
        <v>8</v>
      </c>
      <c r="E5" s="103" t="s">
        <v>8</v>
      </c>
      <c r="F5" s="103" t="s">
        <v>8</v>
      </c>
      <c r="G5" s="103" t="s">
        <v>8</v>
      </c>
      <c r="H5" s="103" t="s">
        <v>8</v>
      </c>
      <c r="I5" s="103" t="s">
        <v>8</v>
      </c>
    </row>
    <row r="6" spans="1:9" ht="16.5" thickTop="1" thickBot="1">
      <c r="A6" s="103" t="s">
        <v>8</v>
      </c>
      <c r="B6" s="103" t="s">
        <v>18</v>
      </c>
      <c r="C6" s="103" t="s">
        <v>8</v>
      </c>
      <c r="D6" s="1096" t="s">
        <v>19</v>
      </c>
      <c r="E6" s="103" t="s">
        <v>20</v>
      </c>
      <c r="F6" s="1096" t="s">
        <v>235</v>
      </c>
      <c r="G6" s="103" t="s">
        <v>8</v>
      </c>
      <c r="H6" s="103" t="s">
        <v>8</v>
      </c>
      <c r="I6" s="103" t="s">
        <v>8</v>
      </c>
    </row>
    <row r="7" spans="1:9" ht="16.5" thickTop="1" thickBot="1">
      <c r="A7" s="103" t="s">
        <v>8</v>
      </c>
      <c r="B7" s="103" t="s">
        <v>8</v>
      </c>
      <c r="C7" s="103" t="s">
        <v>8</v>
      </c>
      <c r="D7" s="103" t="s">
        <v>8</v>
      </c>
      <c r="E7" s="103" t="s">
        <v>8</v>
      </c>
      <c r="F7" s="103" t="s">
        <v>8</v>
      </c>
      <c r="G7" s="103" t="s">
        <v>8</v>
      </c>
      <c r="H7" s="103" t="s">
        <v>8</v>
      </c>
      <c r="I7" s="103" t="s">
        <v>8</v>
      </c>
    </row>
    <row r="8" spans="1:9" ht="16.5" thickTop="1" thickBot="1">
      <c r="A8" s="103" t="s">
        <v>8</v>
      </c>
      <c r="B8" s="103" t="s">
        <v>22</v>
      </c>
      <c r="C8" s="103" t="s">
        <v>8</v>
      </c>
      <c r="D8" s="1096" t="s">
        <v>11</v>
      </c>
      <c r="E8" s="103" t="s">
        <v>23</v>
      </c>
      <c r="F8" s="1096" t="s">
        <v>236</v>
      </c>
      <c r="G8" s="103" t="s">
        <v>8</v>
      </c>
      <c r="H8" s="103" t="s">
        <v>8</v>
      </c>
      <c r="I8" s="103" t="s">
        <v>8</v>
      </c>
    </row>
    <row r="9" spans="1:9" ht="16.5" thickTop="1" thickBot="1">
      <c r="A9" s="103" t="s">
        <v>8</v>
      </c>
      <c r="B9" s="103" t="s">
        <v>8</v>
      </c>
      <c r="C9" s="103" t="s">
        <v>8</v>
      </c>
      <c r="D9" s="103" t="s">
        <v>8</v>
      </c>
      <c r="E9" s="103" t="s">
        <v>8</v>
      </c>
      <c r="F9" s="103" t="s">
        <v>8</v>
      </c>
      <c r="G9" s="103" t="s">
        <v>8</v>
      </c>
      <c r="H9" s="103" t="s">
        <v>8</v>
      </c>
      <c r="I9" s="103" t="s">
        <v>8</v>
      </c>
    </row>
    <row r="10" spans="1:9" ht="16.5" thickTop="1" thickBot="1">
      <c r="A10" s="103" t="s">
        <v>8</v>
      </c>
      <c r="B10" s="103" t="s">
        <v>25</v>
      </c>
      <c r="C10" s="103" t="s">
        <v>8</v>
      </c>
      <c r="D10" s="1096" t="s">
        <v>26</v>
      </c>
      <c r="E10" s="103" t="s">
        <v>8</v>
      </c>
      <c r="F10" s="103" t="s">
        <v>8</v>
      </c>
      <c r="G10" s="103" t="s">
        <v>8</v>
      </c>
      <c r="H10" s="103" t="s">
        <v>8</v>
      </c>
      <c r="I10" s="103" t="s">
        <v>8</v>
      </c>
    </row>
    <row r="11" spans="1:9" ht="16.5" thickTop="1" thickBot="1">
      <c r="A11" s="103" t="s">
        <v>8</v>
      </c>
      <c r="B11" s="103" t="s">
        <v>8</v>
      </c>
      <c r="C11" s="103" t="s">
        <v>8</v>
      </c>
      <c r="D11" s="103" t="s">
        <v>8</v>
      </c>
      <c r="E11" s="103" t="s">
        <v>8</v>
      </c>
      <c r="F11" s="103" t="s">
        <v>8</v>
      </c>
      <c r="G11" s="103" t="s">
        <v>8</v>
      </c>
      <c r="H11" s="103" t="s">
        <v>8</v>
      </c>
      <c r="I11" s="103" t="s">
        <v>8</v>
      </c>
    </row>
    <row r="12" spans="1:9" ht="16.5" thickTop="1" thickBot="1">
      <c r="A12" s="103" t="s">
        <v>8</v>
      </c>
      <c r="B12" s="1097" t="s">
        <v>8</v>
      </c>
      <c r="C12" s="1098" t="s">
        <v>8</v>
      </c>
      <c r="D12" s="1098" t="s">
        <v>8</v>
      </c>
      <c r="E12" s="1098" t="s">
        <v>8</v>
      </c>
      <c r="F12" s="1098" t="s">
        <v>8</v>
      </c>
      <c r="G12" s="1098" t="s">
        <v>8</v>
      </c>
      <c r="H12" s="1099" t="s">
        <v>8</v>
      </c>
      <c r="I12" s="103" t="s">
        <v>8</v>
      </c>
    </row>
    <row r="13" spans="1:9" ht="16.5" thickTop="1" thickBot="1">
      <c r="A13" s="103" t="s">
        <v>8</v>
      </c>
      <c r="B13" s="1100" t="s">
        <v>8</v>
      </c>
      <c r="C13" s="1095" t="s">
        <v>11</v>
      </c>
      <c r="D13" s="1101" t="s">
        <v>28</v>
      </c>
      <c r="E13" s="1110">
        <v>2158890.11</v>
      </c>
      <c r="F13" s="1101" t="s">
        <v>8</v>
      </c>
      <c r="G13" s="1101" t="s">
        <v>8</v>
      </c>
      <c r="H13" s="1102" t="s">
        <v>8</v>
      </c>
      <c r="I13" s="103" t="s">
        <v>29</v>
      </c>
    </row>
    <row r="14" spans="1:9" ht="16.5" thickTop="1" thickBot="1">
      <c r="A14" s="103" t="s">
        <v>8</v>
      </c>
      <c r="B14" s="103" t="s">
        <v>8</v>
      </c>
      <c r="C14" s="103" t="s">
        <v>8</v>
      </c>
      <c r="D14" s="103" t="s">
        <v>8</v>
      </c>
      <c r="E14" s="103" t="s">
        <v>8</v>
      </c>
      <c r="F14" s="103" t="s">
        <v>8</v>
      </c>
      <c r="G14" s="103" t="s">
        <v>8</v>
      </c>
      <c r="H14" s="103" t="s">
        <v>8</v>
      </c>
      <c r="I14" s="103" t="s">
        <v>8</v>
      </c>
    </row>
    <row r="15" spans="1:9" ht="16.5" thickTop="1" thickBot="1">
      <c r="A15" s="103" t="s">
        <v>8</v>
      </c>
      <c r="B15" s="1096" t="s">
        <v>30</v>
      </c>
      <c r="C15" s="1095" t="s">
        <v>31</v>
      </c>
      <c r="D15" s="1095" t="s">
        <v>32</v>
      </c>
      <c r="E15" s="1095" t="s">
        <v>33</v>
      </c>
      <c r="F15" s="1095" t="s">
        <v>34</v>
      </c>
      <c r="G15" s="1095" t="s">
        <v>35</v>
      </c>
      <c r="H15" s="1095" t="s">
        <v>36</v>
      </c>
      <c r="I15" s="103" t="s">
        <v>8</v>
      </c>
    </row>
    <row r="16" spans="1:9" ht="16.5" thickTop="1" thickBot="1">
      <c r="A16" s="103" t="s">
        <v>8</v>
      </c>
      <c r="B16" s="103" t="s">
        <v>8</v>
      </c>
      <c r="C16" s="103" t="s">
        <v>8</v>
      </c>
      <c r="D16" s="103" t="s">
        <v>8</v>
      </c>
      <c r="E16" s="103" t="s">
        <v>8</v>
      </c>
      <c r="F16" s="103" t="s">
        <v>8</v>
      </c>
      <c r="G16" s="103" t="s">
        <v>8</v>
      </c>
      <c r="H16" s="103" t="s">
        <v>8</v>
      </c>
      <c r="I16" s="103" t="s">
        <v>8</v>
      </c>
    </row>
    <row r="17" spans="1:9" ht="15.75" thickTop="1">
      <c r="A17" s="103" t="s">
        <v>8</v>
      </c>
      <c r="B17" s="1112" t="s">
        <v>8</v>
      </c>
      <c r="C17" s="1112" t="s">
        <v>8</v>
      </c>
      <c r="D17" s="1117" t="s">
        <v>237</v>
      </c>
      <c r="E17" s="1112" t="s">
        <v>8</v>
      </c>
      <c r="F17" s="1112" t="s">
        <v>8</v>
      </c>
      <c r="G17" s="1112" t="s">
        <v>8</v>
      </c>
      <c r="H17" s="1099" t="s">
        <v>8</v>
      </c>
      <c r="I17" s="103" t="s">
        <v>8</v>
      </c>
    </row>
    <row r="18" spans="1:9">
      <c r="A18" s="103" t="s">
        <v>8</v>
      </c>
      <c r="B18" s="1113" t="s">
        <v>8</v>
      </c>
      <c r="C18" s="1115" t="s">
        <v>8</v>
      </c>
      <c r="D18" s="1115" t="s">
        <v>8</v>
      </c>
      <c r="E18" s="1119" t="s">
        <v>8</v>
      </c>
      <c r="F18" s="1115" t="s">
        <v>8</v>
      </c>
      <c r="G18" s="1121" t="s">
        <v>8</v>
      </c>
      <c r="H18" s="1107" t="s">
        <v>8</v>
      </c>
      <c r="I18" s="103" t="s">
        <v>8</v>
      </c>
    </row>
    <row r="19" spans="1:9">
      <c r="A19" s="103" t="s">
        <v>8</v>
      </c>
      <c r="B19" s="1113" t="s">
        <v>8</v>
      </c>
      <c r="C19" s="1115" t="s">
        <v>8</v>
      </c>
      <c r="D19" s="1115" t="s">
        <v>8</v>
      </c>
      <c r="E19" s="1119" t="s">
        <v>8</v>
      </c>
      <c r="F19" s="1115" t="s">
        <v>8</v>
      </c>
      <c r="G19" s="1121" t="s">
        <v>8</v>
      </c>
      <c r="H19" s="1107" t="s">
        <v>8</v>
      </c>
      <c r="I19" s="103" t="s">
        <v>8</v>
      </c>
    </row>
    <row r="20" spans="1:9" ht="15.75" thickBot="1">
      <c r="A20" s="103" t="s">
        <v>8</v>
      </c>
      <c r="B20" s="1114" t="s">
        <v>8</v>
      </c>
      <c r="C20" s="1116" t="s">
        <v>8</v>
      </c>
      <c r="D20" s="1118" t="s">
        <v>51</v>
      </c>
      <c r="E20" s="1120">
        <f>SUM($E$18:$E$19)</f>
        <v>0</v>
      </c>
      <c r="F20" s="1116" t="s">
        <v>8</v>
      </c>
      <c r="G20" s="1122" t="s">
        <v>8</v>
      </c>
      <c r="H20" s="1102" t="s">
        <v>8</v>
      </c>
      <c r="I20" s="103" t="s">
        <v>8</v>
      </c>
    </row>
    <row r="21" spans="1:9" ht="15.75" thickTop="1">
      <c r="A21" s="103" t="s">
        <v>8</v>
      </c>
      <c r="B21" s="1104" t="s">
        <v>8</v>
      </c>
      <c r="C21" s="103" t="s">
        <v>8</v>
      </c>
      <c r="D21" s="103" t="s">
        <v>8</v>
      </c>
      <c r="E21" s="104" t="s">
        <v>8</v>
      </c>
      <c r="F21" s="103" t="s">
        <v>8</v>
      </c>
      <c r="G21" s="1103" t="s">
        <v>8</v>
      </c>
      <c r="H21" s="103" t="s">
        <v>8</v>
      </c>
      <c r="I21" s="103" t="s">
        <v>8</v>
      </c>
    </row>
    <row r="22" spans="1:9" ht="15.75" thickBot="1">
      <c r="A22" s="103" t="s">
        <v>8</v>
      </c>
      <c r="B22" s="1104" t="s">
        <v>8</v>
      </c>
      <c r="C22" s="103" t="s">
        <v>8</v>
      </c>
      <c r="D22" s="103" t="s">
        <v>8</v>
      </c>
      <c r="E22" s="104" t="s">
        <v>8</v>
      </c>
      <c r="F22" s="103" t="s">
        <v>8</v>
      </c>
      <c r="G22" s="1103" t="s">
        <v>8</v>
      </c>
      <c r="H22" s="103" t="s">
        <v>8</v>
      </c>
      <c r="I22" s="103" t="s">
        <v>8</v>
      </c>
    </row>
    <row r="23" spans="1:9" ht="15.75" thickTop="1">
      <c r="A23" s="103" t="s">
        <v>8</v>
      </c>
      <c r="B23" s="1126" t="s">
        <v>8</v>
      </c>
      <c r="C23" s="1112" t="s">
        <v>8</v>
      </c>
      <c r="D23" s="1117" t="s">
        <v>238</v>
      </c>
      <c r="E23" s="1127" t="s">
        <v>8</v>
      </c>
      <c r="F23" s="1112" t="s">
        <v>8</v>
      </c>
      <c r="G23" s="1128" t="s">
        <v>8</v>
      </c>
      <c r="H23" s="1099" t="s">
        <v>8</v>
      </c>
      <c r="I23" s="103" t="s">
        <v>8</v>
      </c>
    </row>
    <row r="24" spans="1:9">
      <c r="A24" s="103" t="s">
        <v>8</v>
      </c>
      <c r="B24" s="1113" t="s">
        <v>8</v>
      </c>
      <c r="C24" s="1115" t="s">
        <v>8</v>
      </c>
      <c r="D24" s="1115" t="s">
        <v>8</v>
      </c>
      <c r="E24" s="1119" t="s">
        <v>8</v>
      </c>
      <c r="F24" s="1115" t="s">
        <v>8</v>
      </c>
      <c r="G24" s="1121" t="s">
        <v>8</v>
      </c>
      <c r="H24" s="1107" t="s">
        <v>8</v>
      </c>
      <c r="I24" s="103" t="s">
        <v>8</v>
      </c>
    </row>
    <row r="25" spans="1:9">
      <c r="A25" s="103" t="s">
        <v>8</v>
      </c>
      <c r="B25" s="1113" t="s">
        <v>8</v>
      </c>
      <c r="C25" s="1115" t="s">
        <v>8</v>
      </c>
      <c r="D25" s="1115" t="s">
        <v>8</v>
      </c>
      <c r="E25" s="1119" t="s">
        <v>8</v>
      </c>
      <c r="F25" s="1115" t="s">
        <v>8</v>
      </c>
      <c r="G25" s="1121" t="s">
        <v>8</v>
      </c>
      <c r="H25" s="1107" t="s">
        <v>8</v>
      </c>
      <c r="I25" s="103" t="s">
        <v>8</v>
      </c>
    </row>
    <row r="26" spans="1:9" ht="15.75" thickBot="1">
      <c r="A26" s="103" t="s">
        <v>8</v>
      </c>
      <c r="B26" s="1114" t="s">
        <v>8</v>
      </c>
      <c r="C26" s="1116" t="s">
        <v>8</v>
      </c>
      <c r="D26" s="1118" t="s">
        <v>51</v>
      </c>
      <c r="E26" s="1120">
        <f>SUM($E$24:$E$25)</f>
        <v>0</v>
      </c>
      <c r="F26" s="1116" t="s">
        <v>8</v>
      </c>
      <c r="G26" s="1122" t="s">
        <v>8</v>
      </c>
      <c r="H26" s="1102" t="s">
        <v>8</v>
      </c>
      <c r="I26" s="103" t="s">
        <v>8</v>
      </c>
    </row>
    <row r="27" spans="1:9" ht="15.75" thickTop="1">
      <c r="A27" s="103" t="s">
        <v>8</v>
      </c>
      <c r="B27" s="1104" t="s">
        <v>8</v>
      </c>
      <c r="C27" s="103" t="s">
        <v>8</v>
      </c>
      <c r="D27" s="103" t="s">
        <v>8</v>
      </c>
      <c r="E27" s="104" t="s">
        <v>8</v>
      </c>
      <c r="F27" s="103" t="s">
        <v>8</v>
      </c>
      <c r="G27" s="1103" t="s">
        <v>8</v>
      </c>
      <c r="H27" s="103" t="s">
        <v>8</v>
      </c>
      <c r="I27" s="103" t="s">
        <v>8</v>
      </c>
    </row>
    <row r="28" spans="1:9" ht="15.75" thickBot="1">
      <c r="A28" s="103" t="s">
        <v>8</v>
      </c>
      <c r="B28" s="1104" t="s">
        <v>8</v>
      </c>
      <c r="C28" s="103" t="s">
        <v>8</v>
      </c>
      <c r="D28" s="103" t="s">
        <v>8</v>
      </c>
      <c r="E28" s="104" t="s">
        <v>8</v>
      </c>
      <c r="F28" s="103" t="s">
        <v>8</v>
      </c>
      <c r="G28" s="1103" t="s">
        <v>8</v>
      </c>
      <c r="H28" s="103" t="s">
        <v>8</v>
      </c>
      <c r="I28" s="103" t="s">
        <v>8</v>
      </c>
    </row>
    <row r="29" spans="1:9" ht="15.75" thickTop="1">
      <c r="A29" s="103" t="s">
        <v>8</v>
      </c>
      <c r="B29" s="1126" t="s">
        <v>8</v>
      </c>
      <c r="C29" s="1112" t="s">
        <v>8</v>
      </c>
      <c r="D29" s="1117" t="s">
        <v>239</v>
      </c>
      <c r="E29" s="1127" t="s">
        <v>8</v>
      </c>
      <c r="F29" s="1112" t="s">
        <v>8</v>
      </c>
      <c r="G29" s="1128" t="s">
        <v>8</v>
      </c>
      <c r="H29" s="1099" t="s">
        <v>8</v>
      </c>
      <c r="I29" s="103" t="s">
        <v>8</v>
      </c>
    </row>
    <row r="30" spans="1:9">
      <c r="A30" s="103" t="s">
        <v>8</v>
      </c>
      <c r="B30" s="1113">
        <v>1</v>
      </c>
      <c r="C30" s="1115" t="s">
        <v>48</v>
      </c>
      <c r="D30" s="1115" t="s">
        <v>240</v>
      </c>
      <c r="E30" s="1119">
        <v>48.05</v>
      </c>
      <c r="F30" s="1115" t="s">
        <v>240</v>
      </c>
      <c r="G30" s="1121">
        <v>1</v>
      </c>
      <c r="H30" s="1107" t="s">
        <v>88</v>
      </c>
      <c r="I30" s="103" t="s">
        <v>8</v>
      </c>
    </row>
    <row r="31" spans="1:9">
      <c r="A31" s="103" t="s">
        <v>8</v>
      </c>
      <c r="B31" s="1113">
        <v>2</v>
      </c>
      <c r="C31" s="1115" t="s">
        <v>27</v>
      </c>
      <c r="D31" s="1115" t="s">
        <v>241</v>
      </c>
      <c r="E31" s="1119">
        <v>1.47</v>
      </c>
      <c r="F31" s="1115" t="s">
        <v>242</v>
      </c>
      <c r="G31" s="1121">
        <v>0</v>
      </c>
      <c r="H31" s="1107" t="s">
        <v>88</v>
      </c>
      <c r="I31" s="103" t="s">
        <v>8</v>
      </c>
    </row>
    <row r="32" spans="1:9">
      <c r="A32" s="103" t="s">
        <v>8</v>
      </c>
      <c r="B32" s="1113" t="s">
        <v>8</v>
      </c>
      <c r="C32" s="1115" t="s">
        <v>8</v>
      </c>
      <c r="D32" s="1115" t="s">
        <v>8</v>
      </c>
      <c r="E32" s="1119" t="s">
        <v>8</v>
      </c>
      <c r="F32" s="1115" t="s">
        <v>8</v>
      </c>
      <c r="G32" s="1121" t="s">
        <v>8</v>
      </c>
      <c r="H32" s="1107" t="s">
        <v>8</v>
      </c>
      <c r="I32" s="103" t="s">
        <v>8</v>
      </c>
    </row>
    <row r="33" spans="1:9" ht="15.75" thickBot="1">
      <c r="A33" s="103" t="s">
        <v>8</v>
      </c>
      <c r="B33" s="1114" t="s">
        <v>8</v>
      </c>
      <c r="C33" s="1116" t="s">
        <v>8</v>
      </c>
      <c r="D33" s="1118" t="s">
        <v>51</v>
      </c>
      <c r="E33" s="1120">
        <f>SUM($E$30:$E$32)</f>
        <v>49.519999999999996</v>
      </c>
      <c r="F33" s="1116" t="s">
        <v>8</v>
      </c>
      <c r="G33" s="1122" t="s">
        <v>8</v>
      </c>
      <c r="H33" s="1102" t="s">
        <v>8</v>
      </c>
      <c r="I33" s="103" t="s">
        <v>8</v>
      </c>
    </row>
    <row r="34" spans="1:9" ht="15.75" thickTop="1">
      <c r="A34" s="103" t="s">
        <v>8</v>
      </c>
      <c r="B34" s="1104" t="s">
        <v>8</v>
      </c>
      <c r="C34" s="103" t="s">
        <v>8</v>
      </c>
      <c r="D34" s="103" t="s">
        <v>8</v>
      </c>
      <c r="E34" s="104" t="s">
        <v>8</v>
      </c>
      <c r="F34" s="103" t="s">
        <v>8</v>
      </c>
      <c r="G34" s="1103" t="s">
        <v>8</v>
      </c>
      <c r="H34" s="103" t="s">
        <v>8</v>
      </c>
      <c r="I34" s="103" t="s">
        <v>8</v>
      </c>
    </row>
    <row r="35" spans="1:9" ht="15.75" thickBot="1">
      <c r="A35" s="103" t="s">
        <v>8</v>
      </c>
      <c r="B35" s="1104" t="s">
        <v>8</v>
      </c>
      <c r="C35" s="103" t="s">
        <v>8</v>
      </c>
      <c r="D35" s="103" t="s">
        <v>8</v>
      </c>
      <c r="E35" s="104" t="s">
        <v>8</v>
      </c>
      <c r="F35" s="103" t="s">
        <v>8</v>
      </c>
      <c r="G35" s="1103" t="s">
        <v>8</v>
      </c>
      <c r="H35" s="103" t="s">
        <v>8</v>
      </c>
      <c r="I35" s="103" t="s">
        <v>8</v>
      </c>
    </row>
    <row r="36" spans="1:9" ht="15.75" thickTop="1">
      <c r="A36" s="103" t="s">
        <v>8</v>
      </c>
      <c r="B36" s="1126" t="s">
        <v>8</v>
      </c>
      <c r="C36" s="1112" t="s">
        <v>8</v>
      </c>
      <c r="D36" s="1117" t="s">
        <v>243</v>
      </c>
      <c r="E36" s="1127" t="s">
        <v>8</v>
      </c>
      <c r="F36" s="1112" t="s">
        <v>8</v>
      </c>
      <c r="G36" s="1128" t="s">
        <v>8</v>
      </c>
      <c r="H36" s="1099" t="s">
        <v>8</v>
      </c>
      <c r="I36" s="103" t="s">
        <v>8</v>
      </c>
    </row>
    <row r="37" spans="1:9">
      <c r="A37" s="103" t="s">
        <v>8</v>
      </c>
      <c r="B37" s="1113" t="s">
        <v>8</v>
      </c>
      <c r="C37" s="1115" t="s">
        <v>8</v>
      </c>
      <c r="D37" s="1115" t="s">
        <v>8</v>
      </c>
      <c r="E37" s="1119" t="s">
        <v>8</v>
      </c>
      <c r="F37" s="1115" t="s">
        <v>8</v>
      </c>
      <c r="G37" s="1121" t="s">
        <v>8</v>
      </c>
      <c r="H37" s="1107" t="s">
        <v>8</v>
      </c>
      <c r="I37" s="103" t="s">
        <v>8</v>
      </c>
    </row>
    <row r="38" spans="1:9">
      <c r="A38" s="103" t="s">
        <v>8</v>
      </c>
      <c r="B38" s="1113" t="s">
        <v>8</v>
      </c>
      <c r="C38" s="1115" t="s">
        <v>8</v>
      </c>
      <c r="D38" s="1115" t="s">
        <v>8</v>
      </c>
      <c r="E38" s="1119" t="s">
        <v>8</v>
      </c>
      <c r="F38" s="1115" t="s">
        <v>8</v>
      </c>
      <c r="G38" s="1121" t="s">
        <v>8</v>
      </c>
      <c r="H38" s="1107" t="s">
        <v>8</v>
      </c>
      <c r="I38" s="103" t="s">
        <v>8</v>
      </c>
    </row>
    <row r="39" spans="1:9" ht="15.75" thickBot="1">
      <c r="A39" s="103" t="s">
        <v>8</v>
      </c>
      <c r="B39" s="1114" t="s">
        <v>8</v>
      </c>
      <c r="C39" s="1116" t="s">
        <v>8</v>
      </c>
      <c r="D39" s="1118" t="s">
        <v>51</v>
      </c>
      <c r="E39" s="1120">
        <f>SUM($E$37:$E$38)</f>
        <v>0</v>
      </c>
      <c r="F39" s="1116" t="s">
        <v>8</v>
      </c>
      <c r="G39" s="1122" t="s">
        <v>8</v>
      </c>
      <c r="H39" s="1102" t="s">
        <v>8</v>
      </c>
      <c r="I39" s="103" t="s">
        <v>8</v>
      </c>
    </row>
    <row r="40" spans="1:9" ht="16.5" thickTop="1" thickBot="1">
      <c r="A40" s="103" t="s">
        <v>8</v>
      </c>
      <c r="B40" s="1104" t="s">
        <v>8</v>
      </c>
      <c r="C40" s="103" t="s">
        <v>8</v>
      </c>
      <c r="D40" s="103" t="s">
        <v>8</v>
      </c>
      <c r="E40" s="104" t="s">
        <v>8</v>
      </c>
      <c r="F40" s="103" t="s">
        <v>8</v>
      </c>
      <c r="G40" s="1103" t="s">
        <v>8</v>
      </c>
      <c r="H40" s="103" t="s">
        <v>8</v>
      </c>
      <c r="I40" s="103" t="s">
        <v>8</v>
      </c>
    </row>
    <row r="41" spans="1:9" ht="15.75" thickTop="1">
      <c r="A41" s="103" t="s">
        <v>8</v>
      </c>
      <c r="B41" s="1123" t="s">
        <v>8</v>
      </c>
      <c r="C41" s="1098" t="s">
        <v>8</v>
      </c>
      <c r="D41" s="1098" t="s">
        <v>8</v>
      </c>
      <c r="E41" s="1124" t="s">
        <v>8</v>
      </c>
      <c r="F41" s="1098" t="s">
        <v>8</v>
      </c>
      <c r="G41" s="1125" t="s">
        <v>8</v>
      </c>
      <c r="H41" s="1099" t="s">
        <v>8</v>
      </c>
      <c r="I41" s="103" t="s">
        <v>8</v>
      </c>
    </row>
    <row r="42" spans="1:9">
      <c r="A42" s="103" t="s">
        <v>8</v>
      </c>
      <c r="B42" s="1106" t="s">
        <v>8</v>
      </c>
      <c r="C42" s="2077" t="s">
        <v>8</v>
      </c>
      <c r="D42" s="2079" t="s">
        <v>114</v>
      </c>
      <c r="E42" s="2078">
        <f>ABS(E13+$E$20-$E$39+$E$26-$E$33)</f>
        <v>2158840.59</v>
      </c>
      <c r="F42" s="2077" t="s">
        <v>8</v>
      </c>
      <c r="G42" s="2081" t="s">
        <v>8</v>
      </c>
      <c r="H42" s="1107" t="s">
        <v>8</v>
      </c>
      <c r="I42" s="103" t="s">
        <v>8</v>
      </c>
    </row>
    <row r="43" spans="1:9">
      <c r="A43" s="103" t="s">
        <v>8</v>
      </c>
      <c r="B43" s="1106" t="s">
        <v>8</v>
      </c>
      <c r="C43" s="2077" t="s">
        <v>8</v>
      </c>
      <c r="D43" s="2079" t="s">
        <v>115</v>
      </c>
      <c r="E43" s="2078">
        <v>2158840.59</v>
      </c>
      <c r="F43" s="2077" t="s">
        <v>8</v>
      </c>
      <c r="G43" s="2081" t="s">
        <v>8</v>
      </c>
      <c r="H43" s="1107" t="s">
        <v>8</v>
      </c>
      <c r="I43" s="103" t="s">
        <v>116</v>
      </c>
    </row>
    <row r="44" spans="1:9" ht="15.75" thickBot="1">
      <c r="A44" s="103" t="s">
        <v>8</v>
      </c>
      <c r="B44" s="1108" t="s">
        <v>8</v>
      </c>
      <c r="C44" s="1101" t="s">
        <v>8</v>
      </c>
      <c r="D44" s="1109" t="s">
        <v>117</v>
      </c>
      <c r="E44" s="1110">
        <f>$E$43-$E$42</f>
        <v>0</v>
      </c>
      <c r="F44" s="1101" t="s">
        <v>8</v>
      </c>
      <c r="G44" s="1111" t="s">
        <v>8</v>
      </c>
      <c r="H44" s="1102" t="s">
        <v>8</v>
      </c>
      <c r="I44" s="103" t="s">
        <v>8</v>
      </c>
    </row>
    <row r="45" spans="1:9" ht="16.5" thickTop="1" thickBot="1">
      <c r="A45" s="103" t="s">
        <v>8</v>
      </c>
      <c r="B45" s="1104" t="s">
        <v>8</v>
      </c>
      <c r="C45" s="103" t="s">
        <v>8</v>
      </c>
      <c r="D45" s="103" t="s">
        <v>8</v>
      </c>
      <c r="E45" s="104" t="s">
        <v>8</v>
      </c>
      <c r="F45" s="103" t="s">
        <v>8</v>
      </c>
      <c r="G45" s="1103" t="s">
        <v>8</v>
      </c>
      <c r="H45" s="103" t="s">
        <v>8</v>
      </c>
      <c r="I45" s="103" t="s">
        <v>8</v>
      </c>
    </row>
    <row r="46" spans="1:9" ht="15.75" thickTop="1">
      <c r="A46" s="103" t="s">
        <v>8</v>
      </c>
      <c r="B46" s="1123" t="s">
        <v>8</v>
      </c>
      <c r="C46" s="1098" t="s">
        <v>8</v>
      </c>
      <c r="D46" s="1105" t="s">
        <v>118</v>
      </c>
      <c r="E46" s="1129" t="s">
        <v>119</v>
      </c>
      <c r="F46" s="1105" t="s">
        <v>120</v>
      </c>
      <c r="G46" s="1125">
        <v>45981</v>
      </c>
      <c r="H46" s="1099" t="s">
        <v>8</v>
      </c>
      <c r="I46" s="103" t="s">
        <v>8</v>
      </c>
    </row>
    <row r="47" spans="1:9">
      <c r="A47" s="103" t="s">
        <v>8</v>
      </c>
      <c r="B47" s="1106" t="s">
        <v>8</v>
      </c>
      <c r="C47" s="2077" t="s">
        <v>8</v>
      </c>
      <c r="D47" s="2077" t="s">
        <v>8</v>
      </c>
      <c r="E47" s="2080" t="s">
        <v>8</v>
      </c>
      <c r="F47" s="2077" t="s">
        <v>8</v>
      </c>
      <c r="G47" s="2081" t="s">
        <v>8</v>
      </c>
      <c r="H47" s="1107" t="s">
        <v>8</v>
      </c>
      <c r="I47" s="103" t="s">
        <v>8</v>
      </c>
    </row>
    <row r="48" spans="1:9">
      <c r="A48" s="103" t="s">
        <v>8</v>
      </c>
      <c r="B48" s="1106" t="s">
        <v>8</v>
      </c>
      <c r="C48" s="2077" t="s">
        <v>8</v>
      </c>
      <c r="D48" s="2077" t="s">
        <v>8</v>
      </c>
      <c r="E48" s="2080" t="s">
        <v>8</v>
      </c>
      <c r="F48" s="2077" t="s">
        <v>8</v>
      </c>
      <c r="G48" s="2081" t="s">
        <v>8</v>
      </c>
      <c r="H48" s="1107" t="s">
        <v>8</v>
      </c>
      <c r="I48" s="103" t="s">
        <v>8</v>
      </c>
    </row>
    <row r="49" spans="1:9">
      <c r="A49" s="103" t="s">
        <v>8</v>
      </c>
      <c r="B49" s="1106" t="s">
        <v>8</v>
      </c>
      <c r="C49" s="2077" t="s">
        <v>8</v>
      </c>
      <c r="D49" s="2079" t="s">
        <v>121</v>
      </c>
      <c r="E49" s="2078" t="s">
        <v>8</v>
      </c>
      <c r="F49" s="2079" t="s">
        <v>120</v>
      </c>
      <c r="G49" s="2081" t="s">
        <v>8</v>
      </c>
      <c r="H49" s="1107" t="s">
        <v>8</v>
      </c>
      <c r="I49" s="103" t="s">
        <v>8</v>
      </c>
    </row>
    <row r="50" spans="1:9">
      <c r="B50" s="180"/>
      <c r="C50" s="1919"/>
      <c r="D50" s="1919"/>
      <c r="E50" s="1919"/>
      <c r="F50" s="1919"/>
      <c r="G50" s="1919"/>
      <c r="H50" s="181"/>
    </row>
    <row r="51" spans="1:9" ht="15.75" thickBot="1">
      <c r="B51" s="182"/>
      <c r="C51" s="183"/>
      <c r="D51" s="183"/>
      <c r="E51" s="183"/>
      <c r="F51" s="183"/>
      <c r="G51" s="183"/>
      <c r="H51" s="184"/>
    </row>
    <row r="52" spans="1:9" ht="15.75" thickTop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topLeftCell="A3" workbookViewId="0">
      <selection activeCell="D34" sqref="D34"/>
    </sheetView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76.7109375" bestFit="1" customWidth="1"/>
    <col min="5" max="5" width="24.5703125" bestFit="1" customWidth="1"/>
    <col min="6" max="6" width="24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196</v>
      </c>
    </row>
    <row r="2" spans="1:9">
      <c r="A2" s="106" t="s">
        <v>8</v>
      </c>
      <c r="B2" s="106" t="s">
        <v>8</v>
      </c>
      <c r="C2" s="106" t="s">
        <v>8</v>
      </c>
      <c r="D2" s="106" t="s">
        <v>8</v>
      </c>
      <c r="E2" s="106" t="s">
        <v>8</v>
      </c>
      <c r="F2" s="106" t="s">
        <v>8</v>
      </c>
      <c r="G2" s="106" t="s">
        <v>8</v>
      </c>
      <c r="H2" s="106" t="s">
        <v>8</v>
      </c>
      <c r="I2" s="106" t="s">
        <v>8</v>
      </c>
    </row>
    <row r="3" spans="1:9" ht="15.75" thickBot="1">
      <c r="A3" s="106" t="s">
        <v>8</v>
      </c>
      <c r="B3" s="106" t="s">
        <v>8</v>
      </c>
      <c r="C3" s="106" t="s">
        <v>8</v>
      </c>
      <c r="D3" s="106" t="s">
        <v>8</v>
      </c>
      <c r="E3" s="106" t="s">
        <v>8</v>
      </c>
      <c r="F3" s="106" t="s">
        <v>8</v>
      </c>
      <c r="G3" s="106" t="s">
        <v>8</v>
      </c>
      <c r="H3" s="106" t="s">
        <v>8</v>
      </c>
      <c r="I3" s="106" t="s">
        <v>8</v>
      </c>
    </row>
    <row r="4" spans="1:9" ht="16.5" thickTop="1" thickBot="1">
      <c r="A4" s="106" t="s">
        <v>8</v>
      </c>
      <c r="B4" s="106" t="s">
        <v>14</v>
      </c>
      <c r="C4" s="106" t="s">
        <v>8</v>
      </c>
      <c r="D4" s="1131" t="s">
        <v>15</v>
      </c>
      <c r="E4" s="106" t="s">
        <v>16</v>
      </c>
      <c r="F4" s="1131" t="s">
        <v>244</v>
      </c>
      <c r="G4" s="106" t="s">
        <v>8</v>
      </c>
      <c r="H4" s="106" t="s">
        <v>8</v>
      </c>
      <c r="I4" s="106" t="s">
        <v>8</v>
      </c>
    </row>
    <row r="5" spans="1:9" ht="16.5" thickTop="1" thickBot="1">
      <c r="A5" s="106" t="s">
        <v>8</v>
      </c>
      <c r="B5" s="106" t="s">
        <v>8</v>
      </c>
      <c r="C5" s="106" t="s">
        <v>8</v>
      </c>
      <c r="D5" s="106" t="s">
        <v>8</v>
      </c>
      <c r="E5" s="106" t="s">
        <v>8</v>
      </c>
      <c r="F5" s="106" t="s">
        <v>8</v>
      </c>
      <c r="G5" s="106" t="s">
        <v>8</v>
      </c>
      <c r="H5" s="106" t="s">
        <v>8</v>
      </c>
      <c r="I5" s="106" t="s">
        <v>8</v>
      </c>
    </row>
    <row r="6" spans="1:9" ht="16.5" thickTop="1" thickBot="1">
      <c r="A6" s="106" t="s">
        <v>8</v>
      </c>
      <c r="B6" s="106" t="s">
        <v>18</v>
      </c>
      <c r="C6" s="106" t="s">
        <v>8</v>
      </c>
      <c r="D6" s="1131" t="s">
        <v>19</v>
      </c>
      <c r="E6" s="106" t="s">
        <v>20</v>
      </c>
      <c r="F6" s="1131" t="s">
        <v>245</v>
      </c>
      <c r="G6" s="106" t="s">
        <v>8</v>
      </c>
      <c r="H6" s="106" t="s">
        <v>8</v>
      </c>
      <c r="I6" s="106" t="s">
        <v>8</v>
      </c>
    </row>
    <row r="7" spans="1:9" ht="16.5" thickTop="1" thickBot="1">
      <c r="A7" s="106" t="s">
        <v>8</v>
      </c>
      <c r="B7" s="106" t="s">
        <v>8</v>
      </c>
      <c r="C7" s="106" t="s">
        <v>8</v>
      </c>
      <c r="D7" s="106" t="s">
        <v>8</v>
      </c>
      <c r="E7" s="106" t="s">
        <v>8</v>
      </c>
      <c r="F7" s="106" t="s">
        <v>8</v>
      </c>
      <c r="G7" s="106" t="s">
        <v>8</v>
      </c>
      <c r="H7" s="106" t="s">
        <v>8</v>
      </c>
      <c r="I7" s="106" t="s">
        <v>8</v>
      </c>
    </row>
    <row r="8" spans="1:9" ht="16.5" thickTop="1" thickBot="1">
      <c r="A8" s="106" t="s">
        <v>8</v>
      </c>
      <c r="B8" s="106" t="s">
        <v>22</v>
      </c>
      <c r="C8" s="106" t="s">
        <v>8</v>
      </c>
      <c r="D8" s="1131" t="s">
        <v>11</v>
      </c>
      <c r="E8" s="106" t="s">
        <v>23</v>
      </c>
      <c r="F8" s="1131" t="s">
        <v>246</v>
      </c>
      <c r="G8" s="106" t="s">
        <v>8</v>
      </c>
      <c r="H8" s="106" t="s">
        <v>8</v>
      </c>
      <c r="I8" s="106" t="s">
        <v>8</v>
      </c>
    </row>
    <row r="9" spans="1:9" ht="16.5" thickTop="1" thickBot="1">
      <c r="A9" s="106" t="s">
        <v>8</v>
      </c>
      <c r="B9" s="106" t="s">
        <v>8</v>
      </c>
      <c r="C9" s="106" t="s">
        <v>8</v>
      </c>
      <c r="D9" s="106" t="s">
        <v>8</v>
      </c>
      <c r="E9" s="106" t="s">
        <v>8</v>
      </c>
      <c r="F9" s="106" t="s">
        <v>8</v>
      </c>
      <c r="G9" s="106" t="s">
        <v>8</v>
      </c>
      <c r="H9" s="106" t="s">
        <v>8</v>
      </c>
      <c r="I9" s="106" t="s">
        <v>8</v>
      </c>
    </row>
    <row r="10" spans="1:9" ht="16.5" thickTop="1" thickBot="1">
      <c r="A10" s="106" t="s">
        <v>8</v>
      </c>
      <c r="B10" s="106" t="s">
        <v>25</v>
      </c>
      <c r="C10" s="106" t="s">
        <v>8</v>
      </c>
      <c r="D10" s="1131" t="s">
        <v>26</v>
      </c>
      <c r="E10" s="106" t="s">
        <v>8</v>
      </c>
      <c r="F10" s="106" t="s">
        <v>8</v>
      </c>
      <c r="G10" s="106" t="s">
        <v>8</v>
      </c>
      <c r="H10" s="106" t="s">
        <v>8</v>
      </c>
      <c r="I10" s="106" t="s">
        <v>8</v>
      </c>
    </row>
    <row r="11" spans="1:9" ht="16.5" thickTop="1" thickBot="1">
      <c r="A11" s="106" t="s">
        <v>8</v>
      </c>
      <c r="B11" s="106" t="s">
        <v>8</v>
      </c>
      <c r="C11" s="106" t="s">
        <v>8</v>
      </c>
      <c r="D11" s="106" t="s">
        <v>8</v>
      </c>
      <c r="E11" s="106" t="s">
        <v>8</v>
      </c>
      <c r="F11" s="106" t="s">
        <v>8</v>
      </c>
      <c r="G11" s="106" t="s">
        <v>8</v>
      </c>
      <c r="H11" s="106" t="s">
        <v>8</v>
      </c>
      <c r="I11" s="106" t="s">
        <v>8</v>
      </c>
    </row>
    <row r="12" spans="1:9" ht="16.5" thickTop="1" thickBot="1">
      <c r="A12" s="106" t="s">
        <v>8</v>
      </c>
      <c r="B12" s="1132" t="s">
        <v>8</v>
      </c>
      <c r="C12" s="1133" t="s">
        <v>8</v>
      </c>
      <c r="D12" s="1133" t="s">
        <v>8</v>
      </c>
      <c r="E12" s="1133" t="s">
        <v>8</v>
      </c>
      <c r="F12" s="1133" t="s">
        <v>8</v>
      </c>
      <c r="G12" s="1133" t="s">
        <v>8</v>
      </c>
      <c r="H12" s="1134" t="s">
        <v>8</v>
      </c>
      <c r="I12" s="106" t="s">
        <v>8</v>
      </c>
    </row>
    <row r="13" spans="1:9" ht="16.5" thickTop="1" thickBot="1">
      <c r="A13" s="106" t="s">
        <v>8</v>
      </c>
      <c r="B13" s="1135" t="s">
        <v>8</v>
      </c>
      <c r="C13" s="1130" t="s">
        <v>11</v>
      </c>
      <c r="D13" s="1136" t="s">
        <v>28</v>
      </c>
      <c r="E13" s="1145">
        <v>77332.97</v>
      </c>
      <c r="F13" s="1136" t="s">
        <v>8</v>
      </c>
      <c r="G13" s="1136" t="s">
        <v>8</v>
      </c>
      <c r="H13" s="1137" t="s">
        <v>8</v>
      </c>
      <c r="I13" s="106" t="s">
        <v>29</v>
      </c>
    </row>
    <row r="14" spans="1:9" ht="16.5" thickTop="1" thickBot="1">
      <c r="A14" s="106" t="s">
        <v>8</v>
      </c>
      <c r="B14" s="106" t="s">
        <v>8</v>
      </c>
      <c r="C14" s="106" t="s">
        <v>8</v>
      </c>
      <c r="D14" s="106" t="s">
        <v>8</v>
      </c>
      <c r="E14" s="106" t="s">
        <v>8</v>
      </c>
      <c r="F14" s="106" t="s">
        <v>8</v>
      </c>
      <c r="G14" s="106" t="s">
        <v>8</v>
      </c>
      <c r="H14" s="106" t="s">
        <v>8</v>
      </c>
      <c r="I14" s="106" t="s">
        <v>8</v>
      </c>
    </row>
    <row r="15" spans="1:9" ht="16.5" thickTop="1" thickBot="1">
      <c r="A15" s="106" t="s">
        <v>8</v>
      </c>
      <c r="B15" s="1131" t="s">
        <v>30</v>
      </c>
      <c r="C15" s="1130" t="s">
        <v>31</v>
      </c>
      <c r="D15" s="1130" t="s">
        <v>32</v>
      </c>
      <c r="E15" s="1130" t="s">
        <v>33</v>
      </c>
      <c r="F15" s="1130" t="s">
        <v>34</v>
      </c>
      <c r="G15" s="1130" t="s">
        <v>35</v>
      </c>
      <c r="H15" s="1130" t="s">
        <v>36</v>
      </c>
      <c r="I15" s="106" t="s">
        <v>8</v>
      </c>
    </row>
    <row r="16" spans="1:9" ht="16.5" thickTop="1" thickBot="1">
      <c r="A16" s="106" t="s">
        <v>8</v>
      </c>
      <c r="B16" s="106" t="s">
        <v>8</v>
      </c>
      <c r="C16" s="106" t="s">
        <v>8</v>
      </c>
      <c r="D16" s="106" t="s">
        <v>8</v>
      </c>
      <c r="E16" s="106" t="s">
        <v>8</v>
      </c>
      <c r="F16" s="106" t="s">
        <v>8</v>
      </c>
      <c r="G16" s="106" t="s">
        <v>8</v>
      </c>
      <c r="H16" s="106" t="s">
        <v>8</v>
      </c>
      <c r="I16" s="106" t="s">
        <v>8</v>
      </c>
    </row>
    <row r="17" spans="1:9" ht="15.75" thickTop="1">
      <c r="A17" s="106" t="s">
        <v>8</v>
      </c>
      <c r="B17" s="1147" t="s">
        <v>8</v>
      </c>
      <c r="C17" s="1147" t="s">
        <v>8</v>
      </c>
      <c r="D17" s="1152" t="s">
        <v>237</v>
      </c>
      <c r="E17" s="1147" t="s">
        <v>8</v>
      </c>
      <c r="F17" s="1147" t="s">
        <v>8</v>
      </c>
      <c r="G17" s="1147" t="s">
        <v>8</v>
      </c>
      <c r="H17" s="1134" t="s">
        <v>8</v>
      </c>
      <c r="I17" s="106" t="s">
        <v>8</v>
      </c>
    </row>
    <row r="18" spans="1:9">
      <c r="A18" s="106" t="s">
        <v>8</v>
      </c>
      <c r="B18" s="1148" t="s">
        <v>8</v>
      </c>
      <c r="C18" s="1150" t="s">
        <v>8</v>
      </c>
      <c r="D18" s="1150" t="s">
        <v>8</v>
      </c>
      <c r="E18" s="1154" t="s">
        <v>8</v>
      </c>
      <c r="F18" s="1150" t="s">
        <v>8</v>
      </c>
      <c r="G18" s="1156" t="s">
        <v>8</v>
      </c>
      <c r="H18" s="1142" t="s">
        <v>8</v>
      </c>
      <c r="I18" s="106" t="s">
        <v>8</v>
      </c>
    </row>
    <row r="19" spans="1:9">
      <c r="A19" s="106" t="s">
        <v>8</v>
      </c>
      <c r="B19" s="1148" t="s">
        <v>8</v>
      </c>
      <c r="C19" s="1150" t="s">
        <v>8</v>
      </c>
      <c r="D19" s="1150" t="s">
        <v>8</v>
      </c>
      <c r="E19" s="1154" t="s">
        <v>8</v>
      </c>
      <c r="F19" s="1150" t="s">
        <v>8</v>
      </c>
      <c r="G19" s="1156" t="s">
        <v>8</v>
      </c>
      <c r="H19" s="1142" t="s">
        <v>8</v>
      </c>
      <c r="I19" s="106" t="s">
        <v>8</v>
      </c>
    </row>
    <row r="20" spans="1:9" ht="15.75" thickBot="1">
      <c r="A20" s="106" t="s">
        <v>8</v>
      </c>
      <c r="B20" s="1149" t="s">
        <v>8</v>
      </c>
      <c r="C20" s="1151" t="s">
        <v>8</v>
      </c>
      <c r="D20" s="1153" t="s">
        <v>51</v>
      </c>
      <c r="E20" s="1155">
        <f>SUM($E$18:$E$19)</f>
        <v>0</v>
      </c>
      <c r="F20" s="1151" t="s">
        <v>8</v>
      </c>
      <c r="G20" s="1157" t="s">
        <v>8</v>
      </c>
      <c r="H20" s="1137" t="s">
        <v>8</v>
      </c>
      <c r="I20" s="106" t="s">
        <v>8</v>
      </c>
    </row>
    <row r="21" spans="1:9" ht="15.75" thickTop="1">
      <c r="A21" s="106" t="s">
        <v>8</v>
      </c>
      <c r="B21" s="1139" t="s">
        <v>8</v>
      </c>
      <c r="C21" s="106" t="s">
        <v>8</v>
      </c>
      <c r="D21" s="106" t="s">
        <v>8</v>
      </c>
      <c r="E21" s="107" t="s">
        <v>8</v>
      </c>
      <c r="F21" s="106" t="s">
        <v>8</v>
      </c>
      <c r="G21" s="1138" t="s">
        <v>8</v>
      </c>
      <c r="H21" s="106" t="s">
        <v>8</v>
      </c>
      <c r="I21" s="106" t="s">
        <v>8</v>
      </c>
    </row>
    <row r="22" spans="1:9" ht="15.75" thickBot="1">
      <c r="A22" s="106" t="s">
        <v>8</v>
      </c>
      <c r="B22" s="1139" t="s">
        <v>8</v>
      </c>
      <c r="C22" s="106" t="s">
        <v>8</v>
      </c>
      <c r="D22" s="106" t="s">
        <v>8</v>
      </c>
      <c r="E22" s="107" t="s">
        <v>8</v>
      </c>
      <c r="F22" s="106" t="s">
        <v>8</v>
      </c>
      <c r="G22" s="1138" t="s">
        <v>8</v>
      </c>
      <c r="H22" s="106" t="s">
        <v>8</v>
      </c>
      <c r="I22" s="106" t="s">
        <v>8</v>
      </c>
    </row>
    <row r="23" spans="1:9" ht="15.75" thickTop="1">
      <c r="A23" s="106" t="s">
        <v>8</v>
      </c>
      <c r="B23" s="1161" t="s">
        <v>8</v>
      </c>
      <c r="C23" s="1147" t="s">
        <v>8</v>
      </c>
      <c r="D23" s="1152" t="s">
        <v>238</v>
      </c>
      <c r="E23" s="1162" t="s">
        <v>8</v>
      </c>
      <c r="F23" s="1147" t="s">
        <v>8</v>
      </c>
      <c r="G23" s="1163" t="s">
        <v>8</v>
      </c>
      <c r="H23" s="1134" t="s">
        <v>8</v>
      </c>
      <c r="I23" s="106" t="s">
        <v>8</v>
      </c>
    </row>
    <row r="24" spans="1:9">
      <c r="A24" s="106" t="s">
        <v>8</v>
      </c>
      <c r="B24" s="1148" t="s">
        <v>8</v>
      </c>
      <c r="C24" s="1150" t="s">
        <v>8</v>
      </c>
      <c r="D24" s="1150" t="s">
        <v>8</v>
      </c>
      <c r="E24" s="1154" t="s">
        <v>8</v>
      </c>
      <c r="F24" s="1150" t="s">
        <v>8</v>
      </c>
      <c r="G24" s="1156" t="s">
        <v>8</v>
      </c>
      <c r="H24" s="1142" t="s">
        <v>8</v>
      </c>
      <c r="I24" s="106" t="s">
        <v>8</v>
      </c>
    </row>
    <row r="25" spans="1:9">
      <c r="A25" s="106" t="s">
        <v>8</v>
      </c>
      <c r="B25" s="1148" t="s">
        <v>8</v>
      </c>
      <c r="C25" s="1150" t="s">
        <v>8</v>
      </c>
      <c r="D25" s="1150" t="s">
        <v>8</v>
      </c>
      <c r="E25" s="1154" t="s">
        <v>8</v>
      </c>
      <c r="F25" s="1150" t="s">
        <v>8</v>
      </c>
      <c r="G25" s="1156" t="s">
        <v>8</v>
      </c>
      <c r="H25" s="1142" t="s">
        <v>8</v>
      </c>
      <c r="I25" s="106" t="s">
        <v>8</v>
      </c>
    </row>
    <row r="26" spans="1:9" ht="15.75" thickBot="1">
      <c r="A26" s="106" t="s">
        <v>8</v>
      </c>
      <c r="B26" s="1149" t="s">
        <v>8</v>
      </c>
      <c r="C26" s="1151" t="s">
        <v>8</v>
      </c>
      <c r="D26" s="1153" t="s">
        <v>51</v>
      </c>
      <c r="E26" s="1155">
        <f>SUM($E$24:$E$25)</f>
        <v>0</v>
      </c>
      <c r="F26" s="1151" t="s">
        <v>8</v>
      </c>
      <c r="G26" s="1157" t="s">
        <v>8</v>
      </c>
      <c r="H26" s="1137" t="s">
        <v>8</v>
      </c>
      <c r="I26" s="106" t="s">
        <v>8</v>
      </c>
    </row>
    <row r="27" spans="1:9" ht="15.75" thickTop="1">
      <c r="A27" s="106" t="s">
        <v>8</v>
      </c>
      <c r="B27" s="1139" t="s">
        <v>8</v>
      </c>
      <c r="C27" s="106" t="s">
        <v>8</v>
      </c>
      <c r="D27" s="106" t="s">
        <v>8</v>
      </c>
      <c r="E27" s="107" t="s">
        <v>8</v>
      </c>
      <c r="F27" s="106" t="s">
        <v>8</v>
      </c>
      <c r="G27" s="1138" t="s">
        <v>8</v>
      </c>
      <c r="H27" s="106" t="s">
        <v>8</v>
      </c>
      <c r="I27" s="106" t="s">
        <v>8</v>
      </c>
    </row>
    <row r="28" spans="1:9" ht="15.75" thickBot="1">
      <c r="A28" s="106" t="s">
        <v>8</v>
      </c>
      <c r="B28" s="1139" t="s">
        <v>8</v>
      </c>
      <c r="C28" s="106" t="s">
        <v>8</v>
      </c>
      <c r="D28" s="106" t="s">
        <v>8</v>
      </c>
      <c r="E28" s="107" t="s">
        <v>8</v>
      </c>
      <c r="F28" s="106" t="s">
        <v>8</v>
      </c>
      <c r="G28" s="1138" t="s">
        <v>8</v>
      </c>
      <c r="H28" s="106" t="s">
        <v>8</v>
      </c>
      <c r="I28" s="106" t="s">
        <v>8</v>
      </c>
    </row>
    <row r="29" spans="1:9" ht="15.75" thickTop="1">
      <c r="A29" s="106" t="s">
        <v>8</v>
      </c>
      <c r="B29" s="1161" t="s">
        <v>8</v>
      </c>
      <c r="C29" s="1147" t="s">
        <v>8</v>
      </c>
      <c r="D29" s="1152" t="s">
        <v>239</v>
      </c>
      <c r="E29" s="1162" t="s">
        <v>8</v>
      </c>
      <c r="F29" s="1147" t="s">
        <v>8</v>
      </c>
      <c r="G29" s="1163" t="s">
        <v>8</v>
      </c>
      <c r="H29" s="1134" t="s">
        <v>8</v>
      </c>
      <c r="I29" s="106" t="s">
        <v>8</v>
      </c>
    </row>
    <row r="30" spans="1:9">
      <c r="A30" s="106" t="s">
        <v>8</v>
      </c>
      <c r="B30" s="1148" t="s">
        <v>8</v>
      </c>
      <c r="C30" s="1150" t="s">
        <v>8</v>
      </c>
      <c r="D30" s="1150" t="s">
        <v>8</v>
      </c>
      <c r="E30" s="1154" t="s">
        <v>8</v>
      </c>
      <c r="F30" s="1150" t="s">
        <v>8</v>
      </c>
      <c r="G30" s="1156" t="s">
        <v>8</v>
      </c>
      <c r="H30" s="1142" t="s">
        <v>8</v>
      </c>
      <c r="I30" s="106" t="s">
        <v>8</v>
      </c>
    </row>
    <row r="31" spans="1:9">
      <c r="A31" s="106" t="s">
        <v>8</v>
      </c>
      <c r="B31" s="1148" t="s">
        <v>8</v>
      </c>
      <c r="C31" s="1150" t="s">
        <v>8</v>
      </c>
      <c r="D31" s="1150" t="s">
        <v>8</v>
      </c>
      <c r="E31" s="1154" t="s">
        <v>8</v>
      </c>
      <c r="F31" s="1150" t="s">
        <v>8</v>
      </c>
      <c r="G31" s="1156" t="s">
        <v>8</v>
      </c>
      <c r="H31" s="1142" t="s">
        <v>8</v>
      </c>
      <c r="I31" s="106" t="s">
        <v>8</v>
      </c>
    </row>
    <row r="32" spans="1:9" ht="15.75" thickBot="1">
      <c r="A32" s="106" t="s">
        <v>8</v>
      </c>
      <c r="B32" s="1149" t="s">
        <v>8</v>
      </c>
      <c r="C32" s="1151" t="s">
        <v>8</v>
      </c>
      <c r="D32" s="1153" t="s">
        <v>51</v>
      </c>
      <c r="E32" s="1155">
        <f>SUM($E$30:$E$31)</f>
        <v>0</v>
      </c>
      <c r="F32" s="1151" t="s">
        <v>8</v>
      </c>
      <c r="G32" s="1157" t="s">
        <v>8</v>
      </c>
      <c r="H32" s="1137" t="s">
        <v>8</v>
      </c>
      <c r="I32" s="106" t="s">
        <v>8</v>
      </c>
    </row>
    <row r="33" spans="1:9" ht="15.75" thickTop="1">
      <c r="A33" s="106" t="s">
        <v>8</v>
      </c>
      <c r="B33" s="1139" t="s">
        <v>8</v>
      </c>
      <c r="C33" s="106" t="s">
        <v>8</v>
      </c>
      <c r="D33" s="106" t="s">
        <v>8</v>
      </c>
      <c r="E33" s="107" t="s">
        <v>8</v>
      </c>
      <c r="F33" s="106" t="s">
        <v>8</v>
      </c>
      <c r="G33" s="1138" t="s">
        <v>8</v>
      </c>
      <c r="H33" s="106" t="s">
        <v>8</v>
      </c>
      <c r="I33" s="106" t="s">
        <v>8</v>
      </c>
    </row>
    <row r="34" spans="1:9" ht="15.75" thickBot="1">
      <c r="A34" s="106" t="s">
        <v>8</v>
      </c>
      <c r="B34" s="1139" t="s">
        <v>8</v>
      </c>
      <c r="C34" s="106" t="s">
        <v>8</v>
      </c>
      <c r="D34" s="106" t="s">
        <v>8</v>
      </c>
      <c r="E34" s="107" t="s">
        <v>8</v>
      </c>
      <c r="F34" s="106" t="s">
        <v>8</v>
      </c>
      <c r="G34" s="1138" t="s">
        <v>8</v>
      </c>
      <c r="H34" s="106" t="s">
        <v>8</v>
      </c>
      <c r="I34" s="106" t="s">
        <v>8</v>
      </c>
    </row>
    <row r="35" spans="1:9" ht="15.75" thickTop="1">
      <c r="A35" s="106" t="s">
        <v>8</v>
      </c>
      <c r="B35" s="1161" t="s">
        <v>8</v>
      </c>
      <c r="C35" s="1147" t="s">
        <v>8</v>
      </c>
      <c r="D35" s="1152" t="s">
        <v>243</v>
      </c>
      <c r="E35" s="1162" t="s">
        <v>8</v>
      </c>
      <c r="F35" s="1147" t="s">
        <v>8</v>
      </c>
      <c r="G35" s="1163" t="s">
        <v>8</v>
      </c>
      <c r="H35" s="1134" t="s">
        <v>8</v>
      </c>
      <c r="I35" s="106" t="s">
        <v>8</v>
      </c>
    </row>
    <row r="36" spans="1:9">
      <c r="A36" s="106" t="s">
        <v>8</v>
      </c>
      <c r="B36" s="1148" t="s">
        <v>8</v>
      </c>
      <c r="C36" s="1150" t="s">
        <v>8</v>
      </c>
      <c r="D36" s="1150" t="s">
        <v>8</v>
      </c>
      <c r="E36" s="1154" t="s">
        <v>8</v>
      </c>
      <c r="F36" s="1150" t="s">
        <v>8</v>
      </c>
      <c r="G36" s="1156" t="s">
        <v>8</v>
      </c>
      <c r="H36" s="1142" t="s">
        <v>8</v>
      </c>
      <c r="I36" s="106" t="s">
        <v>8</v>
      </c>
    </row>
    <row r="37" spans="1:9">
      <c r="A37" s="106" t="s">
        <v>8</v>
      </c>
      <c r="B37" s="1148" t="s">
        <v>8</v>
      </c>
      <c r="C37" s="1150" t="s">
        <v>8</v>
      </c>
      <c r="D37" s="1150" t="s">
        <v>8</v>
      </c>
      <c r="E37" s="1154" t="s">
        <v>8</v>
      </c>
      <c r="F37" s="1150" t="s">
        <v>8</v>
      </c>
      <c r="G37" s="1156" t="s">
        <v>8</v>
      </c>
      <c r="H37" s="1142" t="s">
        <v>8</v>
      </c>
      <c r="I37" s="106" t="s">
        <v>8</v>
      </c>
    </row>
    <row r="38" spans="1:9" ht="15.75" thickBot="1">
      <c r="A38" s="106" t="s">
        <v>8</v>
      </c>
      <c r="B38" s="1149" t="s">
        <v>8</v>
      </c>
      <c r="C38" s="1151" t="s">
        <v>8</v>
      </c>
      <c r="D38" s="1153" t="s">
        <v>51</v>
      </c>
      <c r="E38" s="1155">
        <f>SUM($E$36:$E$37)</f>
        <v>0</v>
      </c>
      <c r="F38" s="1151" t="s">
        <v>8</v>
      </c>
      <c r="G38" s="1157" t="s">
        <v>8</v>
      </c>
      <c r="H38" s="1137" t="s">
        <v>8</v>
      </c>
      <c r="I38" s="106" t="s">
        <v>8</v>
      </c>
    </row>
    <row r="39" spans="1:9" ht="16.5" thickTop="1" thickBot="1">
      <c r="A39" s="106" t="s">
        <v>8</v>
      </c>
      <c r="B39" s="1139" t="s">
        <v>8</v>
      </c>
      <c r="C39" s="106" t="s">
        <v>8</v>
      </c>
      <c r="D39" s="106" t="s">
        <v>8</v>
      </c>
      <c r="E39" s="107" t="s">
        <v>8</v>
      </c>
      <c r="F39" s="106" t="s">
        <v>8</v>
      </c>
      <c r="G39" s="1138" t="s">
        <v>8</v>
      </c>
      <c r="H39" s="106" t="s">
        <v>8</v>
      </c>
      <c r="I39" s="106" t="s">
        <v>8</v>
      </c>
    </row>
    <row r="40" spans="1:9" ht="15.75" thickTop="1">
      <c r="A40" s="106" t="s">
        <v>8</v>
      </c>
      <c r="B40" s="1158" t="s">
        <v>8</v>
      </c>
      <c r="C40" s="1133" t="s">
        <v>8</v>
      </c>
      <c r="D40" s="1133" t="s">
        <v>8</v>
      </c>
      <c r="E40" s="1159" t="s">
        <v>8</v>
      </c>
      <c r="F40" s="1133" t="s">
        <v>8</v>
      </c>
      <c r="G40" s="1160" t="s">
        <v>8</v>
      </c>
      <c r="H40" s="1134" t="s">
        <v>8</v>
      </c>
      <c r="I40" s="106" t="s">
        <v>8</v>
      </c>
    </row>
    <row r="41" spans="1:9">
      <c r="A41" s="106" t="s">
        <v>8</v>
      </c>
      <c r="B41" s="1141" t="s">
        <v>8</v>
      </c>
      <c r="C41" s="2082" t="s">
        <v>8</v>
      </c>
      <c r="D41" s="2084" t="s">
        <v>114</v>
      </c>
      <c r="E41" s="2083">
        <f>ABS(E13+$E$20-$E$38+$E$26-$E$32)</f>
        <v>77332.97</v>
      </c>
      <c r="F41" s="2082" t="s">
        <v>8</v>
      </c>
      <c r="G41" s="2086" t="s">
        <v>8</v>
      </c>
      <c r="H41" s="1142" t="s">
        <v>8</v>
      </c>
      <c r="I41" s="106" t="s">
        <v>8</v>
      </c>
    </row>
    <row r="42" spans="1:9">
      <c r="A42" s="106" t="s">
        <v>8</v>
      </c>
      <c r="B42" s="1141" t="s">
        <v>8</v>
      </c>
      <c r="C42" s="2082" t="s">
        <v>8</v>
      </c>
      <c r="D42" s="2084" t="s">
        <v>115</v>
      </c>
      <c r="E42" s="2083">
        <v>77332.97</v>
      </c>
      <c r="F42" s="2082" t="s">
        <v>8</v>
      </c>
      <c r="G42" s="2086" t="s">
        <v>8</v>
      </c>
      <c r="H42" s="1142" t="s">
        <v>8</v>
      </c>
      <c r="I42" s="106" t="s">
        <v>29</v>
      </c>
    </row>
    <row r="43" spans="1:9" ht="15.75" thickBot="1">
      <c r="A43" s="106" t="s">
        <v>8</v>
      </c>
      <c r="B43" s="1143" t="s">
        <v>8</v>
      </c>
      <c r="C43" s="1136" t="s">
        <v>8</v>
      </c>
      <c r="D43" s="1144" t="s">
        <v>117</v>
      </c>
      <c r="E43" s="1145">
        <f>$E$42-$E$41</f>
        <v>0</v>
      </c>
      <c r="F43" s="1136" t="s">
        <v>8</v>
      </c>
      <c r="G43" s="1146" t="s">
        <v>8</v>
      </c>
      <c r="H43" s="1137" t="s">
        <v>8</v>
      </c>
      <c r="I43" s="106" t="s">
        <v>8</v>
      </c>
    </row>
    <row r="44" spans="1:9" ht="16.5" thickTop="1" thickBot="1">
      <c r="A44" s="106" t="s">
        <v>8</v>
      </c>
      <c r="B44" s="1139" t="s">
        <v>8</v>
      </c>
      <c r="C44" s="106" t="s">
        <v>8</v>
      </c>
      <c r="D44" s="106" t="s">
        <v>8</v>
      </c>
      <c r="E44" s="107" t="s">
        <v>8</v>
      </c>
      <c r="F44" s="106" t="s">
        <v>8</v>
      </c>
      <c r="G44" s="1138" t="s">
        <v>8</v>
      </c>
      <c r="H44" s="106" t="s">
        <v>8</v>
      </c>
      <c r="I44" s="106" t="s">
        <v>8</v>
      </c>
    </row>
    <row r="45" spans="1:9" ht="15.75" thickTop="1">
      <c r="A45" s="106" t="s">
        <v>8</v>
      </c>
      <c r="B45" s="1158" t="s">
        <v>8</v>
      </c>
      <c r="C45" s="1133" t="s">
        <v>8</v>
      </c>
      <c r="D45" s="1140" t="s">
        <v>118</v>
      </c>
      <c r="E45" s="1164" t="s">
        <v>119</v>
      </c>
      <c r="F45" s="1140" t="s">
        <v>120</v>
      </c>
      <c r="G45" s="1160">
        <v>45981</v>
      </c>
      <c r="H45" s="1134" t="s">
        <v>8</v>
      </c>
      <c r="I45" s="106" t="s">
        <v>8</v>
      </c>
    </row>
    <row r="46" spans="1:9">
      <c r="A46" s="106" t="s">
        <v>8</v>
      </c>
      <c r="B46" s="1141" t="s">
        <v>8</v>
      </c>
      <c r="C46" s="2082" t="s">
        <v>8</v>
      </c>
      <c r="D46" s="2082" t="s">
        <v>8</v>
      </c>
      <c r="E46" s="2085" t="s">
        <v>8</v>
      </c>
      <c r="F46" s="2082" t="s">
        <v>8</v>
      </c>
      <c r="G46" s="2086" t="s">
        <v>8</v>
      </c>
      <c r="H46" s="1142" t="s">
        <v>8</v>
      </c>
      <c r="I46" s="106" t="s">
        <v>8</v>
      </c>
    </row>
    <row r="47" spans="1:9">
      <c r="A47" s="106" t="s">
        <v>8</v>
      </c>
      <c r="B47" s="1141" t="s">
        <v>8</v>
      </c>
      <c r="C47" s="2082" t="s">
        <v>8</v>
      </c>
      <c r="D47" s="2082" t="s">
        <v>8</v>
      </c>
      <c r="E47" s="2085" t="s">
        <v>8</v>
      </c>
      <c r="F47" s="2082" t="s">
        <v>8</v>
      </c>
      <c r="G47" s="2086" t="s">
        <v>8</v>
      </c>
      <c r="H47" s="1142" t="s">
        <v>8</v>
      </c>
      <c r="I47" s="106" t="s">
        <v>8</v>
      </c>
    </row>
    <row r="48" spans="1:9">
      <c r="A48" s="106" t="s">
        <v>8</v>
      </c>
      <c r="B48" s="1141" t="s">
        <v>8</v>
      </c>
      <c r="C48" s="2082" t="s">
        <v>8</v>
      </c>
      <c r="D48" s="2084" t="s">
        <v>121</v>
      </c>
      <c r="E48" s="2083" t="s">
        <v>8</v>
      </c>
      <c r="F48" s="2084" t="s">
        <v>120</v>
      </c>
      <c r="G48" s="2086" t="s">
        <v>8</v>
      </c>
      <c r="H48" s="1142" t="s">
        <v>8</v>
      </c>
      <c r="I48" s="106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4.28515625" bestFit="1" customWidth="1"/>
    <col min="5" max="5" width="24.5703125" bestFit="1" customWidth="1"/>
    <col min="6" max="6" width="19.5703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196</v>
      </c>
    </row>
    <row r="2" spans="1:9">
      <c r="A2" s="109" t="s">
        <v>8</v>
      </c>
      <c r="B2" s="109" t="s">
        <v>8</v>
      </c>
      <c r="C2" s="109" t="s">
        <v>8</v>
      </c>
      <c r="D2" s="109" t="s">
        <v>8</v>
      </c>
      <c r="E2" s="109" t="s">
        <v>8</v>
      </c>
      <c r="F2" s="109" t="s">
        <v>8</v>
      </c>
      <c r="G2" s="109" t="s">
        <v>8</v>
      </c>
      <c r="H2" s="109" t="s">
        <v>8</v>
      </c>
      <c r="I2" s="109" t="s">
        <v>8</v>
      </c>
    </row>
    <row r="3" spans="1:9" ht="15.75" thickBot="1">
      <c r="A3" s="109" t="s">
        <v>8</v>
      </c>
      <c r="B3" s="109" t="s">
        <v>8</v>
      </c>
      <c r="C3" s="109" t="s">
        <v>8</v>
      </c>
      <c r="D3" s="109" t="s">
        <v>8</v>
      </c>
      <c r="E3" s="109" t="s">
        <v>8</v>
      </c>
      <c r="F3" s="109" t="s">
        <v>8</v>
      </c>
      <c r="G3" s="109" t="s">
        <v>8</v>
      </c>
      <c r="H3" s="109" t="s">
        <v>8</v>
      </c>
      <c r="I3" s="109" t="s">
        <v>8</v>
      </c>
    </row>
    <row r="4" spans="1:9" ht="16.5" thickTop="1" thickBot="1">
      <c r="A4" s="109" t="s">
        <v>8</v>
      </c>
      <c r="B4" s="109" t="s">
        <v>14</v>
      </c>
      <c r="C4" s="109" t="s">
        <v>8</v>
      </c>
      <c r="D4" s="1166" t="s">
        <v>15</v>
      </c>
      <c r="E4" s="109" t="s">
        <v>16</v>
      </c>
      <c r="F4" s="1166" t="s">
        <v>247</v>
      </c>
      <c r="G4" s="109" t="s">
        <v>8</v>
      </c>
      <c r="H4" s="109" t="s">
        <v>8</v>
      </c>
      <c r="I4" s="109" t="s">
        <v>8</v>
      </c>
    </row>
    <row r="5" spans="1:9" ht="16.5" thickTop="1" thickBot="1">
      <c r="A5" s="109" t="s">
        <v>8</v>
      </c>
      <c r="B5" s="109" t="s">
        <v>8</v>
      </c>
      <c r="C5" s="109" t="s">
        <v>8</v>
      </c>
      <c r="D5" s="109" t="s">
        <v>8</v>
      </c>
      <c r="E5" s="109" t="s">
        <v>8</v>
      </c>
      <c r="F5" s="109" t="s">
        <v>8</v>
      </c>
      <c r="G5" s="109" t="s">
        <v>8</v>
      </c>
      <c r="H5" s="109" t="s">
        <v>8</v>
      </c>
      <c r="I5" s="109" t="s">
        <v>8</v>
      </c>
    </row>
    <row r="6" spans="1:9" ht="16.5" thickTop="1" thickBot="1">
      <c r="A6" s="109" t="s">
        <v>8</v>
      </c>
      <c r="B6" s="109" t="s">
        <v>18</v>
      </c>
      <c r="C6" s="109" t="s">
        <v>8</v>
      </c>
      <c r="D6" s="1166" t="s">
        <v>19</v>
      </c>
      <c r="E6" s="109" t="s">
        <v>20</v>
      </c>
      <c r="F6" s="1166" t="s">
        <v>248</v>
      </c>
      <c r="G6" s="109" t="s">
        <v>8</v>
      </c>
      <c r="H6" s="109" t="s">
        <v>8</v>
      </c>
      <c r="I6" s="109" t="s">
        <v>8</v>
      </c>
    </row>
    <row r="7" spans="1:9" ht="16.5" thickTop="1" thickBot="1">
      <c r="A7" s="109" t="s">
        <v>8</v>
      </c>
      <c r="B7" s="109" t="s">
        <v>8</v>
      </c>
      <c r="C7" s="109" t="s">
        <v>8</v>
      </c>
      <c r="D7" s="109" t="s">
        <v>8</v>
      </c>
      <c r="E7" s="109" t="s">
        <v>8</v>
      </c>
      <c r="F7" s="109" t="s">
        <v>8</v>
      </c>
      <c r="G7" s="109" t="s">
        <v>8</v>
      </c>
      <c r="H7" s="109" t="s">
        <v>8</v>
      </c>
      <c r="I7" s="109" t="s">
        <v>8</v>
      </c>
    </row>
    <row r="8" spans="1:9" ht="16.5" thickTop="1" thickBot="1">
      <c r="A8" s="109" t="s">
        <v>8</v>
      </c>
      <c r="B8" s="109" t="s">
        <v>22</v>
      </c>
      <c r="C8" s="109" t="s">
        <v>8</v>
      </c>
      <c r="D8" s="1166" t="s">
        <v>11</v>
      </c>
      <c r="E8" s="109" t="s">
        <v>23</v>
      </c>
      <c r="F8" s="1166" t="s">
        <v>249</v>
      </c>
      <c r="G8" s="109" t="s">
        <v>8</v>
      </c>
      <c r="H8" s="109" t="s">
        <v>8</v>
      </c>
      <c r="I8" s="109" t="s">
        <v>8</v>
      </c>
    </row>
    <row r="9" spans="1:9" ht="16.5" thickTop="1" thickBot="1">
      <c r="A9" s="109" t="s">
        <v>8</v>
      </c>
      <c r="B9" s="109" t="s">
        <v>8</v>
      </c>
      <c r="C9" s="109" t="s">
        <v>8</v>
      </c>
      <c r="D9" s="109" t="s">
        <v>8</v>
      </c>
      <c r="E9" s="109" t="s">
        <v>8</v>
      </c>
      <c r="F9" s="109" t="s">
        <v>8</v>
      </c>
      <c r="G9" s="109" t="s">
        <v>8</v>
      </c>
      <c r="H9" s="109" t="s">
        <v>8</v>
      </c>
      <c r="I9" s="109" t="s">
        <v>8</v>
      </c>
    </row>
    <row r="10" spans="1:9" ht="16.5" thickTop="1" thickBot="1">
      <c r="A10" s="109" t="s">
        <v>8</v>
      </c>
      <c r="B10" s="109" t="s">
        <v>25</v>
      </c>
      <c r="C10" s="109" t="s">
        <v>8</v>
      </c>
      <c r="D10" s="1166" t="s">
        <v>26</v>
      </c>
      <c r="E10" s="109" t="s">
        <v>8</v>
      </c>
      <c r="F10" s="109" t="s">
        <v>8</v>
      </c>
      <c r="G10" s="109" t="s">
        <v>8</v>
      </c>
      <c r="H10" s="109" t="s">
        <v>8</v>
      </c>
      <c r="I10" s="109" t="s">
        <v>8</v>
      </c>
    </row>
    <row r="11" spans="1:9" ht="16.5" thickTop="1" thickBot="1">
      <c r="A11" s="109" t="s">
        <v>8</v>
      </c>
      <c r="B11" s="109" t="s">
        <v>8</v>
      </c>
      <c r="C11" s="109" t="s">
        <v>8</v>
      </c>
      <c r="D11" s="109" t="s">
        <v>8</v>
      </c>
      <c r="E11" s="109" t="s">
        <v>8</v>
      </c>
      <c r="F11" s="109" t="s">
        <v>8</v>
      </c>
      <c r="G11" s="109" t="s">
        <v>8</v>
      </c>
      <c r="H11" s="109" t="s">
        <v>8</v>
      </c>
      <c r="I11" s="109" t="s">
        <v>8</v>
      </c>
    </row>
    <row r="12" spans="1:9" ht="16.5" thickTop="1" thickBot="1">
      <c r="A12" s="109" t="s">
        <v>8</v>
      </c>
      <c r="B12" s="1167" t="s">
        <v>8</v>
      </c>
      <c r="C12" s="1168" t="s">
        <v>8</v>
      </c>
      <c r="D12" s="1168" t="s">
        <v>8</v>
      </c>
      <c r="E12" s="1168" t="s">
        <v>8</v>
      </c>
      <c r="F12" s="1168" t="s">
        <v>8</v>
      </c>
      <c r="G12" s="1168" t="s">
        <v>8</v>
      </c>
      <c r="H12" s="1169" t="s">
        <v>8</v>
      </c>
      <c r="I12" s="109" t="s">
        <v>8</v>
      </c>
    </row>
    <row r="13" spans="1:9" ht="16.5" thickTop="1" thickBot="1">
      <c r="A13" s="109" t="s">
        <v>8</v>
      </c>
      <c r="B13" s="1170" t="s">
        <v>8</v>
      </c>
      <c r="C13" s="1165" t="s">
        <v>11</v>
      </c>
      <c r="D13" s="1171" t="s">
        <v>28</v>
      </c>
      <c r="E13" s="1180">
        <v>0</v>
      </c>
      <c r="F13" s="1171" t="s">
        <v>8</v>
      </c>
      <c r="G13" s="1171" t="s">
        <v>8</v>
      </c>
      <c r="H13" s="1172" t="s">
        <v>8</v>
      </c>
      <c r="I13" s="109" t="s">
        <v>116</v>
      </c>
    </row>
    <row r="14" spans="1:9" ht="16.5" thickTop="1" thickBot="1">
      <c r="A14" s="109" t="s">
        <v>8</v>
      </c>
      <c r="B14" s="109" t="s">
        <v>8</v>
      </c>
      <c r="C14" s="109" t="s">
        <v>8</v>
      </c>
      <c r="D14" s="109" t="s">
        <v>8</v>
      </c>
      <c r="E14" s="109" t="s">
        <v>8</v>
      </c>
      <c r="F14" s="109" t="s">
        <v>8</v>
      </c>
      <c r="G14" s="109" t="s">
        <v>8</v>
      </c>
      <c r="H14" s="109" t="s">
        <v>8</v>
      </c>
      <c r="I14" s="109" t="s">
        <v>8</v>
      </c>
    </row>
    <row r="15" spans="1:9" ht="16.5" thickTop="1" thickBot="1">
      <c r="A15" s="109" t="s">
        <v>8</v>
      </c>
      <c r="B15" s="1166" t="s">
        <v>30</v>
      </c>
      <c r="C15" s="1165" t="s">
        <v>31</v>
      </c>
      <c r="D15" s="1165" t="s">
        <v>32</v>
      </c>
      <c r="E15" s="1165" t="s">
        <v>33</v>
      </c>
      <c r="F15" s="1165" t="s">
        <v>34</v>
      </c>
      <c r="G15" s="1165" t="s">
        <v>35</v>
      </c>
      <c r="H15" s="1165" t="s">
        <v>36</v>
      </c>
      <c r="I15" s="109" t="s">
        <v>8</v>
      </c>
    </row>
    <row r="16" spans="1:9" ht="16.5" thickTop="1" thickBot="1">
      <c r="A16" s="109" t="s">
        <v>8</v>
      </c>
      <c r="B16" s="109" t="s">
        <v>8</v>
      </c>
      <c r="C16" s="109" t="s">
        <v>8</v>
      </c>
      <c r="D16" s="109" t="s">
        <v>8</v>
      </c>
      <c r="E16" s="109" t="s">
        <v>8</v>
      </c>
      <c r="F16" s="109" t="s">
        <v>8</v>
      </c>
      <c r="G16" s="109" t="s">
        <v>8</v>
      </c>
      <c r="H16" s="109" t="s">
        <v>8</v>
      </c>
      <c r="I16" s="109" t="s">
        <v>8</v>
      </c>
    </row>
    <row r="17" spans="1:9" ht="15.75" thickTop="1">
      <c r="A17" s="109" t="s">
        <v>8</v>
      </c>
      <c r="B17" s="1182" t="s">
        <v>8</v>
      </c>
      <c r="C17" s="1182" t="s">
        <v>8</v>
      </c>
      <c r="D17" s="1187" t="s">
        <v>250</v>
      </c>
      <c r="E17" s="1182" t="s">
        <v>8</v>
      </c>
      <c r="F17" s="1182" t="s">
        <v>8</v>
      </c>
      <c r="G17" s="1182" t="s">
        <v>8</v>
      </c>
      <c r="H17" s="1169" t="s">
        <v>8</v>
      </c>
      <c r="I17" s="109" t="s">
        <v>8</v>
      </c>
    </row>
    <row r="18" spans="1:9">
      <c r="A18" s="109" t="s">
        <v>8</v>
      </c>
      <c r="B18" s="1183" t="s">
        <v>8</v>
      </c>
      <c r="C18" s="1185" t="s">
        <v>8</v>
      </c>
      <c r="D18" s="1185" t="s">
        <v>8</v>
      </c>
      <c r="E18" s="1189" t="s">
        <v>8</v>
      </c>
      <c r="F18" s="1185" t="s">
        <v>8</v>
      </c>
      <c r="G18" s="1191" t="s">
        <v>8</v>
      </c>
      <c r="H18" s="1177" t="s">
        <v>8</v>
      </c>
      <c r="I18" s="109" t="s">
        <v>8</v>
      </c>
    </row>
    <row r="19" spans="1:9">
      <c r="A19" s="109" t="s">
        <v>8</v>
      </c>
      <c r="B19" s="1183" t="s">
        <v>8</v>
      </c>
      <c r="C19" s="1185" t="s">
        <v>8</v>
      </c>
      <c r="D19" s="1185" t="s">
        <v>8</v>
      </c>
      <c r="E19" s="1189" t="s">
        <v>8</v>
      </c>
      <c r="F19" s="1185" t="s">
        <v>8</v>
      </c>
      <c r="G19" s="1191" t="s">
        <v>8</v>
      </c>
      <c r="H19" s="1177" t="s">
        <v>8</v>
      </c>
      <c r="I19" s="109" t="s">
        <v>8</v>
      </c>
    </row>
    <row r="20" spans="1:9" ht="15.75" thickBot="1">
      <c r="A20" s="109" t="s">
        <v>8</v>
      </c>
      <c r="B20" s="1184" t="s">
        <v>8</v>
      </c>
      <c r="C20" s="1186" t="s">
        <v>8</v>
      </c>
      <c r="D20" s="1188" t="s">
        <v>51</v>
      </c>
      <c r="E20" s="1190">
        <f>SUM($E$18:$E$19)</f>
        <v>0</v>
      </c>
      <c r="F20" s="1186" t="s">
        <v>8</v>
      </c>
      <c r="G20" s="1192" t="s">
        <v>8</v>
      </c>
      <c r="H20" s="1172" t="s">
        <v>8</v>
      </c>
      <c r="I20" s="109" t="s">
        <v>8</v>
      </c>
    </row>
    <row r="21" spans="1:9" ht="15.75" thickTop="1">
      <c r="A21" s="109" t="s">
        <v>8</v>
      </c>
      <c r="B21" s="1174" t="s">
        <v>8</v>
      </c>
      <c r="C21" s="109" t="s">
        <v>8</v>
      </c>
      <c r="D21" s="109" t="s">
        <v>8</v>
      </c>
      <c r="E21" s="110" t="s">
        <v>8</v>
      </c>
      <c r="F21" s="109" t="s">
        <v>8</v>
      </c>
      <c r="G21" s="1173" t="s">
        <v>8</v>
      </c>
      <c r="H21" s="109" t="s">
        <v>8</v>
      </c>
      <c r="I21" s="109" t="s">
        <v>8</v>
      </c>
    </row>
    <row r="22" spans="1:9" ht="15.75" thickBot="1">
      <c r="A22" s="109" t="s">
        <v>8</v>
      </c>
      <c r="B22" s="1174" t="s">
        <v>8</v>
      </c>
      <c r="C22" s="109" t="s">
        <v>8</v>
      </c>
      <c r="D22" s="109" t="s">
        <v>8</v>
      </c>
      <c r="E22" s="110" t="s">
        <v>8</v>
      </c>
      <c r="F22" s="109" t="s">
        <v>8</v>
      </c>
      <c r="G22" s="1173" t="s">
        <v>8</v>
      </c>
      <c r="H22" s="109" t="s">
        <v>8</v>
      </c>
      <c r="I22" s="109" t="s">
        <v>8</v>
      </c>
    </row>
    <row r="23" spans="1:9" ht="15.75" thickTop="1">
      <c r="A23" s="109" t="s">
        <v>8</v>
      </c>
      <c r="B23" s="1196" t="s">
        <v>8</v>
      </c>
      <c r="C23" s="1182" t="s">
        <v>8</v>
      </c>
      <c r="D23" s="1187" t="s">
        <v>251</v>
      </c>
      <c r="E23" s="1197" t="s">
        <v>8</v>
      </c>
      <c r="F23" s="1182" t="s">
        <v>8</v>
      </c>
      <c r="G23" s="1198" t="s">
        <v>8</v>
      </c>
      <c r="H23" s="1169" t="s">
        <v>8</v>
      </c>
      <c r="I23" s="109" t="s">
        <v>8</v>
      </c>
    </row>
    <row r="24" spans="1:9">
      <c r="A24" s="109" t="s">
        <v>8</v>
      </c>
      <c r="B24" s="1183" t="s">
        <v>8</v>
      </c>
      <c r="C24" s="1185" t="s">
        <v>8</v>
      </c>
      <c r="D24" s="1185" t="s">
        <v>8</v>
      </c>
      <c r="E24" s="1189" t="s">
        <v>8</v>
      </c>
      <c r="F24" s="1185" t="s">
        <v>8</v>
      </c>
      <c r="G24" s="1191" t="s">
        <v>8</v>
      </c>
      <c r="H24" s="1177" t="s">
        <v>8</v>
      </c>
      <c r="I24" s="109" t="s">
        <v>8</v>
      </c>
    </row>
    <row r="25" spans="1:9">
      <c r="A25" s="109" t="s">
        <v>8</v>
      </c>
      <c r="B25" s="1183" t="s">
        <v>8</v>
      </c>
      <c r="C25" s="1185" t="s">
        <v>8</v>
      </c>
      <c r="D25" s="1185" t="s">
        <v>8</v>
      </c>
      <c r="E25" s="1189" t="s">
        <v>8</v>
      </c>
      <c r="F25" s="1185" t="s">
        <v>8</v>
      </c>
      <c r="G25" s="1191" t="s">
        <v>8</v>
      </c>
      <c r="H25" s="1177" t="s">
        <v>8</v>
      </c>
      <c r="I25" s="109" t="s">
        <v>8</v>
      </c>
    </row>
    <row r="26" spans="1:9" ht="15.75" thickBot="1">
      <c r="A26" s="109" t="s">
        <v>8</v>
      </c>
      <c r="B26" s="1184" t="s">
        <v>8</v>
      </c>
      <c r="C26" s="1186" t="s">
        <v>8</v>
      </c>
      <c r="D26" s="1188" t="s">
        <v>51</v>
      </c>
      <c r="E26" s="1190">
        <f>SUM($E$24:$E$25)</f>
        <v>0</v>
      </c>
      <c r="F26" s="1186" t="s">
        <v>8</v>
      </c>
      <c r="G26" s="1192" t="s">
        <v>8</v>
      </c>
      <c r="H26" s="1172" t="s">
        <v>8</v>
      </c>
      <c r="I26" s="109" t="s">
        <v>8</v>
      </c>
    </row>
    <row r="27" spans="1:9" ht="15.75" thickTop="1">
      <c r="A27" s="109" t="s">
        <v>8</v>
      </c>
      <c r="B27" s="1174" t="s">
        <v>8</v>
      </c>
      <c r="C27" s="109" t="s">
        <v>8</v>
      </c>
      <c r="D27" s="109" t="s">
        <v>8</v>
      </c>
      <c r="E27" s="110" t="s">
        <v>8</v>
      </c>
      <c r="F27" s="109" t="s">
        <v>8</v>
      </c>
      <c r="G27" s="1173" t="s">
        <v>8</v>
      </c>
      <c r="H27" s="109" t="s">
        <v>8</v>
      </c>
      <c r="I27" s="109" t="s">
        <v>8</v>
      </c>
    </row>
    <row r="28" spans="1:9" ht="15.75" thickBot="1">
      <c r="A28" s="109" t="s">
        <v>8</v>
      </c>
      <c r="B28" s="1174" t="s">
        <v>8</v>
      </c>
      <c r="C28" s="109" t="s">
        <v>8</v>
      </c>
      <c r="D28" s="109" t="s">
        <v>8</v>
      </c>
      <c r="E28" s="110" t="s">
        <v>8</v>
      </c>
      <c r="F28" s="109" t="s">
        <v>8</v>
      </c>
      <c r="G28" s="1173" t="s">
        <v>8</v>
      </c>
      <c r="H28" s="109" t="s">
        <v>8</v>
      </c>
      <c r="I28" s="109" t="s">
        <v>8</v>
      </c>
    </row>
    <row r="29" spans="1:9" ht="15.75" thickTop="1">
      <c r="A29" s="109" t="s">
        <v>8</v>
      </c>
      <c r="B29" s="1196" t="s">
        <v>8</v>
      </c>
      <c r="C29" s="1182" t="s">
        <v>8</v>
      </c>
      <c r="D29" s="1187" t="s">
        <v>252</v>
      </c>
      <c r="E29" s="1197" t="s">
        <v>8</v>
      </c>
      <c r="F29" s="1182" t="s">
        <v>8</v>
      </c>
      <c r="G29" s="1198" t="s">
        <v>8</v>
      </c>
      <c r="H29" s="1169" t="s">
        <v>8</v>
      </c>
      <c r="I29" s="109" t="s">
        <v>8</v>
      </c>
    </row>
    <row r="30" spans="1:9">
      <c r="A30" s="109" t="s">
        <v>8</v>
      </c>
      <c r="B30" s="1183" t="s">
        <v>8</v>
      </c>
      <c r="C30" s="1185" t="s">
        <v>8</v>
      </c>
      <c r="D30" s="1185" t="s">
        <v>8</v>
      </c>
      <c r="E30" s="1189" t="s">
        <v>8</v>
      </c>
      <c r="F30" s="1185" t="s">
        <v>8</v>
      </c>
      <c r="G30" s="1191" t="s">
        <v>8</v>
      </c>
      <c r="H30" s="1177" t="s">
        <v>8</v>
      </c>
      <c r="I30" s="109" t="s">
        <v>8</v>
      </c>
    </row>
    <row r="31" spans="1:9">
      <c r="A31" s="109" t="s">
        <v>8</v>
      </c>
      <c r="B31" s="1183" t="s">
        <v>8</v>
      </c>
      <c r="C31" s="1185" t="s">
        <v>8</v>
      </c>
      <c r="D31" s="1185" t="s">
        <v>8</v>
      </c>
      <c r="E31" s="1189" t="s">
        <v>8</v>
      </c>
      <c r="F31" s="1185" t="s">
        <v>8</v>
      </c>
      <c r="G31" s="1191" t="s">
        <v>8</v>
      </c>
      <c r="H31" s="1177" t="s">
        <v>8</v>
      </c>
      <c r="I31" s="109" t="s">
        <v>8</v>
      </c>
    </row>
    <row r="32" spans="1:9" ht="15.75" thickBot="1">
      <c r="A32" s="109" t="s">
        <v>8</v>
      </c>
      <c r="B32" s="1184" t="s">
        <v>8</v>
      </c>
      <c r="C32" s="1186" t="s">
        <v>8</v>
      </c>
      <c r="D32" s="1188" t="s">
        <v>51</v>
      </c>
      <c r="E32" s="1190">
        <f>SUM($E$30:$E$31)</f>
        <v>0</v>
      </c>
      <c r="F32" s="1186" t="s">
        <v>8</v>
      </c>
      <c r="G32" s="1192" t="s">
        <v>8</v>
      </c>
      <c r="H32" s="1172" t="s">
        <v>8</v>
      </c>
      <c r="I32" s="109" t="s">
        <v>8</v>
      </c>
    </row>
    <row r="33" spans="1:9" ht="15.75" thickTop="1">
      <c r="A33" s="109" t="s">
        <v>8</v>
      </c>
      <c r="B33" s="1174" t="s">
        <v>8</v>
      </c>
      <c r="C33" s="109" t="s">
        <v>8</v>
      </c>
      <c r="D33" s="109" t="s">
        <v>8</v>
      </c>
      <c r="E33" s="110" t="s">
        <v>8</v>
      </c>
      <c r="F33" s="109" t="s">
        <v>8</v>
      </c>
      <c r="G33" s="1173" t="s">
        <v>8</v>
      </c>
      <c r="H33" s="109" t="s">
        <v>8</v>
      </c>
      <c r="I33" s="109" t="s">
        <v>8</v>
      </c>
    </row>
    <row r="34" spans="1:9" ht="15.75" thickBot="1">
      <c r="A34" s="109" t="s">
        <v>8</v>
      </c>
      <c r="B34" s="1174" t="s">
        <v>8</v>
      </c>
      <c r="C34" s="109" t="s">
        <v>8</v>
      </c>
      <c r="D34" s="109" t="s">
        <v>8</v>
      </c>
      <c r="E34" s="110" t="s">
        <v>8</v>
      </c>
      <c r="F34" s="109" t="s">
        <v>8</v>
      </c>
      <c r="G34" s="1173" t="s">
        <v>8</v>
      </c>
      <c r="H34" s="109" t="s">
        <v>8</v>
      </c>
      <c r="I34" s="109" t="s">
        <v>8</v>
      </c>
    </row>
    <row r="35" spans="1:9" ht="15.75" thickTop="1">
      <c r="A35" s="109" t="s">
        <v>8</v>
      </c>
      <c r="B35" s="1196" t="s">
        <v>8</v>
      </c>
      <c r="C35" s="1182" t="s">
        <v>8</v>
      </c>
      <c r="D35" s="1187" t="s">
        <v>253</v>
      </c>
      <c r="E35" s="1197" t="s">
        <v>8</v>
      </c>
      <c r="F35" s="1182" t="s">
        <v>8</v>
      </c>
      <c r="G35" s="1198" t="s">
        <v>8</v>
      </c>
      <c r="H35" s="1169" t="s">
        <v>8</v>
      </c>
      <c r="I35" s="109" t="s">
        <v>8</v>
      </c>
    </row>
    <row r="36" spans="1:9">
      <c r="A36" s="109" t="s">
        <v>8</v>
      </c>
      <c r="B36" s="1183" t="s">
        <v>8</v>
      </c>
      <c r="C36" s="1185" t="s">
        <v>8</v>
      </c>
      <c r="D36" s="1185" t="s">
        <v>8</v>
      </c>
      <c r="E36" s="1189" t="s">
        <v>8</v>
      </c>
      <c r="F36" s="1185" t="s">
        <v>8</v>
      </c>
      <c r="G36" s="1191" t="s">
        <v>8</v>
      </c>
      <c r="H36" s="1177" t="s">
        <v>8</v>
      </c>
      <c r="I36" s="109" t="s">
        <v>8</v>
      </c>
    </row>
    <row r="37" spans="1:9">
      <c r="A37" s="109" t="s">
        <v>8</v>
      </c>
      <c r="B37" s="1183" t="s">
        <v>8</v>
      </c>
      <c r="C37" s="1185" t="s">
        <v>8</v>
      </c>
      <c r="D37" s="1185" t="s">
        <v>8</v>
      </c>
      <c r="E37" s="1189" t="s">
        <v>8</v>
      </c>
      <c r="F37" s="1185" t="s">
        <v>8</v>
      </c>
      <c r="G37" s="1191" t="s">
        <v>8</v>
      </c>
      <c r="H37" s="1177" t="s">
        <v>8</v>
      </c>
      <c r="I37" s="109" t="s">
        <v>8</v>
      </c>
    </row>
    <row r="38" spans="1:9" ht="15.75" thickBot="1">
      <c r="A38" s="109" t="s">
        <v>8</v>
      </c>
      <c r="B38" s="1184" t="s">
        <v>8</v>
      </c>
      <c r="C38" s="1186" t="s">
        <v>8</v>
      </c>
      <c r="D38" s="1188" t="s">
        <v>51</v>
      </c>
      <c r="E38" s="1190">
        <f>SUM($E$36:$E$37)</f>
        <v>0</v>
      </c>
      <c r="F38" s="1186" t="s">
        <v>8</v>
      </c>
      <c r="G38" s="1192" t="s">
        <v>8</v>
      </c>
      <c r="H38" s="1172" t="s">
        <v>8</v>
      </c>
      <c r="I38" s="109" t="s">
        <v>8</v>
      </c>
    </row>
    <row r="39" spans="1:9" ht="16.5" thickTop="1" thickBot="1">
      <c r="A39" s="109" t="s">
        <v>8</v>
      </c>
      <c r="B39" s="1174" t="s">
        <v>8</v>
      </c>
      <c r="C39" s="109" t="s">
        <v>8</v>
      </c>
      <c r="D39" s="109" t="s">
        <v>8</v>
      </c>
      <c r="E39" s="110" t="s">
        <v>8</v>
      </c>
      <c r="F39" s="109" t="s">
        <v>8</v>
      </c>
      <c r="G39" s="1173" t="s">
        <v>8</v>
      </c>
      <c r="H39" s="109" t="s">
        <v>8</v>
      </c>
      <c r="I39" s="109" t="s">
        <v>8</v>
      </c>
    </row>
    <row r="40" spans="1:9" ht="15.75" thickTop="1">
      <c r="A40" s="109" t="s">
        <v>8</v>
      </c>
      <c r="B40" s="1193" t="s">
        <v>8</v>
      </c>
      <c r="C40" s="1168" t="s">
        <v>8</v>
      </c>
      <c r="D40" s="1168" t="s">
        <v>8</v>
      </c>
      <c r="E40" s="1194" t="s">
        <v>8</v>
      </c>
      <c r="F40" s="1168" t="s">
        <v>8</v>
      </c>
      <c r="G40" s="1195" t="s">
        <v>8</v>
      </c>
      <c r="H40" s="1169" t="s">
        <v>8</v>
      </c>
      <c r="I40" s="109" t="s">
        <v>8</v>
      </c>
    </row>
    <row r="41" spans="1:9">
      <c r="A41" s="109" t="s">
        <v>8</v>
      </c>
      <c r="B41" s="1176" t="s">
        <v>8</v>
      </c>
      <c r="C41" s="2087" t="s">
        <v>8</v>
      </c>
      <c r="D41" s="2089" t="s">
        <v>114</v>
      </c>
      <c r="E41" s="2088">
        <f>ABS(E13+$E$20-$E$38+$E$26-$E$32)</f>
        <v>0</v>
      </c>
      <c r="F41" s="2087" t="s">
        <v>8</v>
      </c>
      <c r="G41" s="2091" t="s">
        <v>8</v>
      </c>
      <c r="H41" s="1177" t="s">
        <v>8</v>
      </c>
      <c r="I41" s="109" t="s">
        <v>8</v>
      </c>
    </row>
    <row r="42" spans="1:9">
      <c r="A42" s="109" t="s">
        <v>8</v>
      </c>
      <c r="B42" s="1176" t="s">
        <v>8</v>
      </c>
      <c r="C42" s="2087" t="s">
        <v>8</v>
      </c>
      <c r="D42" s="2089" t="s">
        <v>115</v>
      </c>
      <c r="E42" s="2088">
        <v>0</v>
      </c>
      <c r="F42" s="2087" t="s">
        <v>8</v>
      </c>
      <c r="G42" s="2091" t="s">
        <v>8</v>
      </c>
      <c r="H42" s="1177" t="s">
        <v>8</v>
      </c>
      <c r="I42" s="109" t="s">
        <v>116</v>
      </c>
    </row>
    <row r="43" spans="1:9" ht="15.75" thickBot="1">
      <c r="A43" s="109" t="s">
        <v>8</v>
      </c>
      <c r="B43" s="1178" t="s">
        <v>8</v>
      </c>
      <c r="C43" s="1171" t="s">
        <v>8</v>
      </c>
      <c r="D43" s="1179" t="s">
        <v>117</v>
      </c>
      <c r="E43" s="1180">
        <f>$E$42-$E$41</f>
        <v>0</v>
      </c>
      <c r="F43" s="1171" t="s">
        <v>8</v>
      </c>
      <c r="G43" s="1181" t="s">
        <v>8</v>
      </c>
      <c r="H43" s="1172" t="s">
        <v>8</v>
      </c>
      <c r="I43" s="109" t="s">
        <v>8</v>
      </c>
    </row>
    <row r="44" spans="1:9" ht="16.5" thickTop="1" thickBot="1">
      <c r="A44" s="109" t="s">
        <v>8</v>
      </c>
      <c r="B44" s="1174" t="s">
        <v>8</v>
      </c>
      <c r="C44" s="109" t="s">
        <v>8</v>
      </c>
      <c r="D44" s="109" t="s">
        <v>8</v>
      </c>
      <c r="E44" s="110" t="s">
        <v>8</v>
      </c>
      <c r="F44" s="109" t="s">
        <v>8</v>
      </c>
      <c r="G44" s="1173" t="s">
        <v>8</v>
      </c>
      <c r="H44" s="109" t="s">
        <v>8</v>
      </c>
      <c r="I44" s="109" t="s">
        <v>8</v>
      </c>
    </row>
    <row r="45" spans="1:9" ht="15.75" thickTop="1">
      <c r="A45" s="109" t="s">
        <v>8</v>
      </c>
      <c r="B45" s="1193" t="s">
        <v>8</v>
      </c>
      <c r="C45" s="1168" t="s">
        <v>8</v>
      </c>
      <c r="D45" s="1175" t="s">
        <v>118</v>
      </c>
      <c r="E45" s="1199" t="s">
        <v>119</v>
      </c>
      <c r="F45" s="1175" t="s">
        <v>120</v>
      </c>
      <c r="G45" s="1195">
        <v>45981</v>
      </c>
      <c r="H45" s="1169" t="s">
        <v>8</v>
      </c>
      <c r="I45" s="109" t="s">
        <v>8</v>
      </c>
    </row>
    <row r="46" spans="1:9">
      <c r="A46" s="109" t="s">
        <v>8</v>
      </c>
      <c r="B46" s="1176" t="s">
        <v>8</v>
      </c>
      <c r="C46" s="2087" t="s">
        <v>8</v>
      </c>
      <c r="D46" s="2087" t="s">
        <v>8</v>
      </c>
      <c r="E46" s="2090" t="s">
        <v>8</v>
      </c>
      <c r="F46" s="2087" t="s">
        <v>8</v>
      </c>
      <c r="G46" s="2091" t="s">
        <v>8</v>
      </c>
      <c r="H46" s="1177" t="s">
        <v>8</v>
      </c>
      <c r="I46" s="109" t="s">
        <v>8</v>
      </c>
    </row>
    <row r="47" spans="1:9">
      <c r="A47" s="109" t="s">
        <v>8</v>
      </c>
      <c r="B47" s="1176" t="s">
        <v>8</v>
      </c>
      <c r="C47" s="2087" t="s">
        <v>8</v>
      </c>
      <c r="D47" s="2087" t="s">
        <v>8</v>
      </c>
      <c r="E47" s="2090" t="s">
        <v>8</v>
      </c>
      <c r="F47" s="2087" t="s">
        <v>8</v>
      </c>
      <c r="G47" s="2091" t="s">
        <v>8</v>
      </c>
      <c r="H47" s="1177" t="s">
        <v>8</v>
      </c>
      <c r="I47" s="109" t="s">
        <v>8</v>
      </c>
    </row>
    <row r="48" spans="1:9">
      <c r="A48" s="109" t="s">
        <v>8</v>
      </c>
      <c r="B48" s="1176" t="s">
        <v>8</v>
      </c>
      <c r="C48" s="2087" t="s">
        <v>8</v>
      </c>
      <c r="D48" s="2089" t="s">
        <v>121</v>
      </c>
      <c r="E48" s="2088" t="s">
        <v>8</v>
      </c>
      <c r="F48" s="2089" t="s">
        <v>120</v>
      </c>
      <c r="G48" s="2091" t="s">
        <v>8</v>
      </c>
      <c r="H48" s="1177" t="s">
        <v>8</v>
      </c>
      <c r="I48" s="109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4.28515625" bestFit="1" customWidth="1"/>
    <col min="5" max="5" width="24.5703125" bestFit="1" customWidth="1"/>
    <col min="6" max="6" width="19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196</v>
      </c>
    </row>
    <row r="2" spans="1:9">
      <c r="A2" s="112" t="s">
        <v>8</v>
      </c>
      <c r="B2" s="112" t="s">
        <v>8</v>
      </c>
      <c r="C2" s="112" t="s">
        <v>8</v>
      </c>
      <c r="D2" s="112" t="s">
        <v>8</v>
      </c>
      <c r="E2" s="112" t="s">
        <v>8</v>
      </c>
      <c r="F2" s="112" t="s">
        <v>8</v>
      </c>
      <c r="G2" s="112" t="s">
        <v>8</v>
      </c>
      <c r="H2" s="112" t="s">
        <v>8</v>
      </c>
      <c r="I2" s="112" t="s">
        <v>8</v>
      </c>
    </row>
    <row r="3" spans="1:9" ht="15.75" thickBot="1">
      <c r="A3" s="112" t="s">
        <v>8</v>
      </c>
      <c r="B3" s="112" t="s">
        <v>8</v>
      </c>
      <c r="C3" s="112" t="s">
        <v>8</v>
      </c>
      <c r="D3" s="112" t="s">
        <v>8</v>
      </c>
      <c r="E3" s="112" t="s">
        <v>8</v>
      </c>
      <c r="F3" s="112" t="s">
        <v>8</v>
      </c>
      <c r="G3" s="112" t="s">
        <v>8</v>
      </c>
      <c r="H3" s="112" t="s">
        <v>8</v>
      </c>
      <c r="I3" s="112" t="s">
        <v>8</v>
      </c>
    </row>
    <row r="4" spans="1:9" ht="16.5" thickTop="1" thickBot="1">
      <c r="A4" s="112" t="s">
        <v>8</v>
      </c>
      <c r="B4" s="112" t="s">
        <v>14</v>
      </c>
      <c r="C4" s="112" t="s">
        <v>8</v>
      </c>
      <c r="D4" s="1201" t="s">
        <v>15</v>
      </c>
      <c r="E4" s="112" t="s">
        <v>16</v>
      </c>
      <c r="F4" s="1201" t="s">
        <v>254</v>
      </c>
      <c r="G4" s="112" t="s">
        <v>8</v>
      </c>
      <c r="H4" s="112" t="s">
        <v>8</v>
      </c>
      <c r="I4" s="112" t="s">
        <v>8</v>
      </c>
    </row>
    <row r="5" spans="1:9" ht="16.5" thickTop="1" thickBot="1">
      <c r="A5" s="112" t="s">
        <v>8</v>
      </c>
      <c r="B5" s="112" t="s">
        <v>8</v>
      </c>
      <c r="C5" s="112" t="s">
        <v>8</v>
      </c>
      <c r="D5" s="112" t="s">
        <v>8</v>
      </c>
      <c r="E5" s="112" t="s">
        <v>8</v>
      </c>
      <c r="F5" s="112" t="s">
        <v>8</v>
      </c>
      <c r="G5" s="112" t="s">
        <v>8</v>
      </c>
      <c r="H5" s="112" t="s">
        <v>8</v>
      </c>
      <c r="I5" s="112" t="s">
        <v>8</v>
      </c>
    </row>
    <row r="6" spans="1:9" ht="16.5" thickTop="1" thickBot="1">
      <c r="A6" s="112" t="s">
        <v>8</v>
      </c>
      <c r="B6" s="112" t="s">
        <v>18</v>
      </c>
      <c r="C6" s="112" t="s">
        <v>8</v>
      </c>
      <c r="D6" s="1201" t="s">
        <v>19</v>
      </c>
      <c r="E6" s="112" t="s">
        <v>20</v>
      </c>
      <c r="F6" s="1201" t="s">
        <v>255</v>
      </c>
      <c r="G6" s="112" t="s">
        <v>8</v>
      </c>
      <c r="H6" s="112" t="s">
        <v>8</v>
      </c>
      <c r="I6" s="112" t="s">
        <v>8</v>
      </c>
    </row>
    <row r="7" spans="1:9" ht="16.5" thickTop="1" thickBot="1">
      <c r="A7" s="112" t="s">
        <v>8</v>
      </c>
      <c r="B7" s="112" t="s">
        <v>8</v>
      </c>
      <c r="C7" s="112" t="s">
        <v>8</v>
      </c>
      <c r="D7" s="112" t="s">
        <v>8</v>
      </c>
      <c r="E7" s="112" t="s">
        <v>8</v>
      </c>
      <c r="F7" s="112" t="s">
        <v>8</v>
      </c>
      <c r="G7" s="112" t="s">
        <v>8</v>
      </c>
      <c r="H7" s="112" t="s">
        <v>8</v>
      </c>
      <c r="I7" s="112" t="s">
        <v>8</v>
      </c>
    </row>
    <row r="8" spans="1:9" ht="16.5" thickTop="1" thickBot="1">
      <c r="A8" s="112" t="s">
        <v>8</v>
      </c>
      <c r="B8" s="112" t="s">
        <v>22</v>
      </c>
      <c r="C8" s="112" t="s">
        <v>8</v>
      </c>
      <c r="D8" s="1201" t="s">
        <v>11</v>
      </c>
      <c r="E8" s="112" t="s">
        <v>23</v>
      </c>
      <c r="F8" s="1201" t="s">
        <v>256</v>
      </c>
      <c r="G8" s="112" t="s">
        <v>8</v>
      </c>
      <c r="H8" s="112" t="s">
        <v>8</v>
      </c>
      <c r="I8" s="112" t="s">
        <v>8</v>
      </c>
    </row>
    <row r="9" spans="1:9" ht="16.5" thickTop="1" thickBot="1">
      <c r="A9" s="112" t="s">
        <v>8</v>
      </c>
      <c r="B9" s="112" t="s">
        <v>8</v>
      </c>
      <c r="C9" s="112" t="s">
        <v>8</v>
      </c>
      <c r="D9" s="112" t="s">
        <v>8</v>
      </c>
      <c r="E9" s="112" t="s">
        <v>8</v>
      </c>
      <c r="F9" s="112" t="s">
        <v>8</v>
      </c>
      <c r="G9" s="112" t="s">
        <v>8</v>
      </c>
      <c r="H9" s="112" t="s">
        <v>8</v>
      </c>
      <c r="I9" s="112" t="s">
        <v>8</v>
      </c>
    </row>
    <row r="10" spans="1:9" ht="16.5" thickTop="1" thickBot="1">
      <c r="A10" s="112" t="s">
        <v>8</v>
      </c>
      <c r="B10" s="112" t="s">
        <v>25</v>
      </c>
      <c r="C10" s="112" t="s">
        <v>8</v>
      </c>
      <c r="D10" s="1201" t="s">
        <v>26</v>
      </c>
      <c r="E10" s="112" t="s">
        <v>8</v>
      </c>
      <c r="F10" s="112" t="s">
        <v>8</v>
      </c>
      <c r="G10" s="112" t="s">
        <v>8</v>
      </c>
      <c r="H10" s="112" t="s">
        <v>8</v>
      </c>
      <c r="I10" s="112" t="s">
        <v>8</v>
      </c>
    </row>
    <row r="11" spans="1:9" ht="16.5" thickTop="1" thickBot="1">
      <c r="A11" s="112" t="s">
        <v>8</v>
      </c>
      <c r="B11" s="112" t="s">
        <v>8</v>
      </c>
      <c r="C11" s="112" t="s">
        <v>8</v>
      </c>
      <c r="D11" s="112" t="s">
        <v>8</v>
      </c>
      <c r="E11" s="112" t="s">
        <v>8</v>
      </c>
      <c r="F11" s="112" t="s">
        <v>8</v>
      </c>
      <c r="G11" s="112" t="s">
        <v>8</v>
      </c>
      <c r="H11" s="112" t="s">
        <v>8</v>
      </c>
      <c r="I11" s="112" t="s">
        <v>8</v>
      </c>
    </row>
    <row r="12" spans="1:9" ht="16.5" thickTop="1" thickBot="1">
      <c r="A12" s="112" t="s">
        <v>8</v>
      </c>
      <c r="B12" s="1202" t="s">
        <v>8</v>
      </c>
      <c r="C12" s="1203" t="s">
        <v>8</v>
      </c>
      <c r="D12" s="1203" t="s">
        <v>8</v>
      </c>
      <c r="E12" s="1203" t="s">
        <v>8</v>
      </c>
      <c r="F12" s="1203" t="s">
        <v>8</v>
      </c>
      <c r="G12" s="1203" t="s">
        <v>8</v>
      </c>
      <c r="H12" s="1204" t="s">
        <v>8</v>
      </c>
      <c r="I12" s="112" t="s">
        <v>8</v>
      </c>
    </row>
    <row r="13" spans="1:9" ht="16.5" thickTop="1" thickBot="1">
      <c r="A13" s="112" t="s">
        <v>8</v>
      </c>
      <c r="B13" s="1205" t="s">
        <v>8</v>
      </c>
      <c r="C13" s="1200" t="s">
        <v>11</v>
      </c>
      <c r="D13" s="1206" t="s">
        <v>28</v>
      </c>
      <c r="E13" s="1215">
        <v>0</v>
      </c>
      <c r="F13" s="1206" t="s">
        <v>8</v>
      </c>
      <c r="G13" s="1206" t="s">
        <v>8</v>
      </c>
      <c r="H13" s="1207" t="s">
        <v>8</v>
      </c>
      <c r="I13" s="112" t="s">
        <v>116</v>
      </c>
    </row>
    <row r="14" spans="1:9" ht="16.5" thickTop="1" thickBot="1">
      <c r="A14" s="112" t="s">
        <v>8</v>
      </c>
      <c r="B14" s="112" t="s">
        <v>8</v>
      </c>
      <c r="C14" s="112" t="s">
        <v>8</v>
      </c>
      <c r="D14" s="112" t="s">
        <v>8</v>
      </c>
      <c r="E14" s="112" t="s">
        <v>8</v>
      </c>
      <c r="F14" s="112" t="s">
        <v>8</v>
      </c>
      <c r="G14" s="112" t="s">
        <v>8</v>
      </c>
      <c r="H14" s="112" t="s">
        <v>8</v>
      </c>
      <c r="I14" s="112" t="s">
        <v>8</v>
      </c>
    </row>
    <row r="15" spans="1:9" ht="16.5" thickTop="1" thickBot="1">
      <c r="A15" s="112" t="s">
        <v>8</v>
      </c>
      <c r="B15" s="1201" t="s">
        <v>30</v>
      </c>
      <c r="C15" s="1200" t="s">
        <v>31</v>
      </c>
      <c r="D15" s="1200" t="s">
        <v>32</v>
      </c>
      <c r="E15" s="1200" t="s">
        <v>33</v>
      </c>
      <c r="F15" s="1200" t="s">
        <v>34</v>
      </c>
      <c r="G15" s="1200" t="s">
        <v>35</v>
      </c>
      <c r="H15" s="1200" t="s">
        <v>36</v>
      </c>
      <c r="I15" s="112" t="s">
        <v>8</v>
      </c>
    </row>
    <row r="16" spans="1:9" ht="16.5" thickTop="1" thickBot="1">
      <c r="A16" s="112" t="s">
        <v>8</v>
      </c>
      <c r="B16" s="112" t="s">
        <v>8</v>
      </c>
      <c r="C16" s="112" t="s">
        <v>8</v>
      </c>
      <c r="D16" s="112" t="s">
        <v>8</v>
      </c>
      <c r="E16" s="112" t="s">
        <v>8</v>
      </c>
      <c r="F16" s="112" t="s">
        <v>8</v>
      </c>
      <c r="G16" s="112" t="s">
        <v>8</v>
      </c>
      <c r="H16" s="112" t="s">
        <v>8</v>
      </c>
      <c r="I16" s="112" t="s">
        <v>8</v>
      </c>
    </row>
    <row r="17" spans="1:9" ht="15.75" thickTop="1">
      <c r="A17" s="112" t="s">
        <v>8</v>
      </c>
      <c r="B17" s="1217" t="s">
        <v>8</v>
      </c>
      <c r="C17" s="1217" t="s">
        <v>8</v>
      </c>
      <c r="D17" s="1222" t="s">
        <v>250</v>
      </c>
      <c r="E17" s="1217" t="s">
        <v>8</v>
      </c>
      <c r="F17" s="1217" t="s">
        <v>8</v>
      </c>
      <c r="G17" s="1217" t="s">
        <v>8</v>
      </c>
      <c r="H17" s="1204" t="s">
        <v>8</v>
      </c>
      <c r="I17" s="112" t="s">
        <v>8</v>
      </c>
    </row>
    <row r="18" spans="1:9">
      <c r="A18" s="112" t="s">
        <v>8</v>
      </c>
      <c r="B18" s="1218" t="s">
        <v>8</v>
      </c>
      <c r="C18" s="1220" t="s">
        <v>8</v>
      </c>
      <c r="D18" s="1220" t="s">
        <v>8</v>
      </c>
      <c r="E18" s="1224" t="s">
        <v>8</v>
      </c>
      <c r="F18" s="1220" t="s">
        <v>8</v>
      </c>
      <c r="G18" s="1226" t="s">
        <v>8</v>
      </c>
      <c r="H18" s="1212" t="s">
        <v>8</v>
      </c>
      <c r="I18" s="112" t="s">
        <v>8</v>
      </c>
    </row>
    <row r="19" spans="1:9">
      <c r="A19" s="112" t="s">
        <v>8</v>
      </c>
      <c r="B19" s="1218" t="s">
        <v>8</v>
      </c>
      <c r="C19" s="1220" t="s">
        <v>8</v>
      </c>
      <c r="D19" s="1220" t="s">
        <v>8</v>
      </c>
      <c r="E19" s="1224" t="s">
        <v>8</v>
      </c>
      <c r="F19" s="1220" t="s">
        <v>8</v>
      </c>
      <c r="G19" s="1226" t="s">
        <v>8</v>
      </c>
      <c r="H19" s="1212" t="s">
        <v>8</v>
      </c>
      <c r="I19" s="112" t="s">
        <v>8</v>
      </c>
    </row>
    <row r="20" spans="1:9" ht="15.75" thickBot="1">
      <c r="A20" s="112" t="s">
        <v>8</v>
      </c>
      <c r="B20" s="1219" t="s">
        <v>8</v>
      </c>
      <c r="C20" s="1221" t="s">
        <v>8</v>
      </c>
      <c r="D20" s="1223" t="s">
        <v>51</v>
      </c>
      <c r="E20" s="1225">
        <f>SUM($E$18:$E$19)</f>
        <v>0</v>
      </c>
      <c r="F20" s="1221" t="s">
        <v>8</v>
      </c>
      <c r="G20" s="1227" t="s">
        <v>8</v>
      </c>
      <c r="H20" s="1207" t="s">
        <v>8</v>
      </c>
      <c r="I20" s="112" t="s">
        <v>8</v>
      </c>
    </row>
    <row r="21" spans="1:9" ht="15.75" thickTop="1">
      <c r="A21" s="112" t="s">
        <v>8</v>
      </c>
      <c r="B21" s="1209" t="s">
        <v>8</v>
      </c>
      <c r="C21" s="112" t="s">
        <v>8</v>
      </c>
      <c r="D21" s="112" t="s">
        <v>8</v>
      </c>
      <c r="E21" s="113" t="s">
        <v>8</v>
      </c>
      <c r="F21" s="112" t="s">
        <v>8</v>
      </c>
      <c r="G21" s="1208" t="s">
        <v>8</v>
      </c>
      <c r="H21" s="112" t="s">
        <v>8</v>
      </c>
      <c r="I21" s="112" t="s">
        <v>8</v>
      </c>
    </row>
    <row r="22" spans="1:9" ht="15.75" thickBot="1">
      <c r="A22" s="112" t="s">
        <v>8</v>
      </c>
      <c r="B22" s="1209" t="s">
        <v>8</v>
      </c>
      <c r="C22" s="112" t="s">
        <v>8</v>
      </c>
      <c r="D22" s="112" t="s">
        <v>8</v>
      </c>
      <c r="E22" s="113" t="s">
        <v>8</v>
      </c>
      <c r="F22" s="112" t="s">
        <v>8</v>
      </c>
      <c r="G22" s="1208" t="s">
        <v>8</v>
      </c>
      <c r="H22" s="112" t="s">
        <v>8</v>
      </c>
      <c r="I22" s="112" t="s">
        <v>8</v>
      </c>
    </row>
    <row r="23" spans="1:9" ht="15.75" thickTop="1">
      <c r="A23" s="112" t="s">
        <v>8</v>
      </c>
      <c r="B23" s="1231" t="s">
        <v>8</v>
      </c>
      <c r="C23" s="1217" t="s">
        <v>8</v>
      </c>
      <c r="D23" s="1222" t="s">
        <v>251</v>
      </c>
      <c r="E23" s="1232" t="s">
        <v>8</v>
      </c>
      <c r="F23" s="1217" t="s">
        <v>8</v>
      </c>
      <c r="G23" s="1233" t="s">
        <v>8</v>
      </c>
      <c r="H23" s="1204" t="s">
        <v>8</v>
      </c>
      <c r="I23" s="112" t="s">
        <v>8</v>
      </c>
    </row>
    <row r="24" spans="1:9">
      <c r="A24" s="112" t="s">
        <v>8</v>
      </c>
      <c r="B24" s="1218" t="s">
        <v>8</v>
      </c>
      <c r="C24" s="1220" t="s">
        <v>8</v>
      </c>
      <c r="D24" s="1220" t="s">
        <v>8</v>
      </c>
      <c r="E24" s="1224" t="s">
        <v>8</v>
      </c>
      <c r="F24" s="1220" t="s">
        <v>8</v>
      </c>
      <c r="G24" s="1226" t="s">
        <v>8</v>
      </c>
      <c r="H24" s="1212" t="s">
        <v>8</v>
      </c>
      <c r="I24" s="112" t="s">
        <v>8</v>
      </c>
    </row>
    <row r="25" spans="1:9">
      <c r="A25" s="112" t="s">
        <v>8</v>
      </c>
      <c r="B25" s="1218" t="s">
        <v>8</v>
      </c>
      <c r="C25" s="1220" t="s">
        <v>8</v>
      </c>
      <c r="D25" s="1220" t="s">
        <v>8</v>
      </c>
      <c r="E25" s="1224" t="s">
        <v>8</v>
      </c>
      <c r="F25" s="1220" t="s">
        <v>8</v>
      </c>
      <c r="G25" s="1226" t="s">
        <v>8</v>
      </c>
      <c r="H25" s="1212" t="s">
        <v>8</v>
      </c>
      <c r="I25" s="112" t="s">
        <v>8</v>
      </c>
    </row>
    <row r="26" spans="1:9" ht="15.75" thickBot="1">
      <c r="A26" s="112" t="s">
        <v>8</v>
      </c>
      <c r="B26" s="1219" t="s">
        <v>8</v>
      </c>
      <c r="C26" s="1221" t="s">
        <v>8</v>
      </c>
      <c r="D26" s="1223" t="s">
        <v>51</v>
      </c>
      <c r="E26" s="1225">
        <f>SUM($E$24:$E$25)</f>
        <v>0</v>
      </c>
      <c r="F26" s="1221" t="s">
        <v>8</v>
      </c>
      <c r="G26" s="1227" t="s">
        <v>8</v>
      </c>
      <c r="H26" s="1207" t="s">
        <v>8</v>
      </c>
      <c r="I26" s="112" t="s">
        <v>8</v>
      </c>
    </row>
    <row r="27" spans="1:9" ht="15.75" thickTop="1">
      <c r="A27" s="112" t="s">
        <v>8</v>
      </c>
      <c r="B27" s="1209" t="s">
        <v>8</v>
      </c>
      <c r="C27" s="112" t="s">
        <v>8</v>
      </c>
      <c r="D27" s="112" t="s">
        <v>8</v>
      </c>
      <c r="E27" s="113" t="s">
        <v>8</v>
      </c>
      <c r="F27" s="112" t="s">
        <v>8</v>
      </c>
      <c r="G27" s="1208" t="s">
        <v>8</v>
      </c>
      <c r="H27" s="112" t="s">
        <v>8</v>
      </c>
      <c r="I27" s="112" t="s">
        <v>8</v>
      </c>
    </row>
    <row r="28" spans="1:9" ht="15.75" thickBot="1">
      <c r="A28" s="112" t="s">
        <v>8</v>
      </c>
      <c r="B28" s="1209" t="s">
        <v>8</v>
      </c>
      <c r="C28" s="112" t="s">
        <v>8</v>
      </c>
      <c r="D28" s="112" t="s">
        <v>8</v>
      </c>
      <c r="E28" s="113" t="s">
        <v>8</v>
      </c>
      <c r="F28" s="112" t="s">
        <v>8</v>
      </c>
      <c r="G28" s="1208" t="s">
        <v>8</v>
      </c>
      <c r="H28" s="112" t="s">
        <v>8</v>
      </c>
      <c r="I28" s="112" t="s">
        <v>8</v>
      </c>
    </row>
    <row r="29" spans="1:9" ht="15.75" thickTop="1">
      <c r="A29" s="112" t="s">
        <v>8</v>
      </c>
      <c r="B29" s="1231" t="s">
        <v>8</v>
      </c>
      <c r="C29" s="1217" t="s">
        <v>8</v>
      </c>
      <c r="D29" s="1222" t="s">
        <v>252</v>
      </c>
      <c r="E29" s="1232" t="s">
        <v>8</v>
      </c>
      <c r="F29" s="1217" t="s">
        <v>8</v>
      </c>
      <c r="G29" s="1233" t="s">
        <v>8</v>
      </c>
      <c r="H29" s="1204" t="s">
        <v>8</v>
      </c>
      <c r="I29" s="112" t="s">
        <v>8</v>
      </c>
    </row>
    <row r="30" spans="1:9">
      <c r="A30" s="112" t="s">
        <v>8</v>
      </c>
      <c r="B30" s="1218" t="s">
        <v>8</v>
      </c>
      <c r="C30" s="1220" t="s">
        <v>8</v>
      </c>
      <c r="D30" s="1220" t="s">
        <v>8</v>
      </c>
      <c r="E30" s="1224" t="s">
        <v>8</v>
      </c>
      <c r="F30" s="1220" t="s">
        <v>8</v>
      </c>
      <c r="G30" s="1226" t="s">
        <v>8</v>
      </c>
      <c r="H30" s="1212" t="s">
        <v>8</v>
      </c>
      <c r="I30" s="112" t="s">
        <v>8</v>
      </c>
    </row>
    <row r="31" spans="1:9">
      <c r="A31" s="112" t="s">
        <v>8</v>
      </c>
      <c r="B31" s="1218" t="s">
        <v>8</v>
      </c>
      <c r="C31" s="1220" t="s">
        <v>8</v>
      </c>
      <c r="D31" s="1220" t="s">
        <v>8</v>
      </c>
      <c r="E31" s="1224" t="s">
        <v>8</v>
      </c>
      <c r="F31" s="1220" t="s">
        <v>8</v>
      </c>
      <c r="G31" s="1226" t="s">
        <v>8</v>
      </c>
      <c r="H31" s="1212" t="s">
        <v>8</v>
      </c>
      <c r="I31" s="112" t="s">
        <v>8</v>
      </c>
    </row>
    <row r="32" spans="1:9" ht="15.75" thickBot="1">
      <c r="A32" s="112" t="s">
        <v>8</v>
      </c>
      <c r="B32" s="1219" t="s">
        <v>8</v>
      </c>
      <c r="C32" s="1221" t="s">
        <v>8</v>
      </c>
      <c r="D32" s="1223" t="s">
        <v>51</v>
      </c>
      <c r="E32" s="1225">
        <f>SUM($E$30:$E$31)</f>
        <v>0</v>
      </c>
      <c r="F32" s="1221" t="s">
        <v>8</v>
      </c>
      <c r="G32" s="1227" t="s">
        <v>8</v>
      </c>
      <c r="H32" s="1207" t="s">
        <v>8</v>
      </c>
      <c r="I32" s="112" t="s">
        <v>8</v>
      </c>
    </row>
    <row r="33" spans="1:9" ht="15.75" thickTop="1">
      <c r="A33" s="112" t="s">
        <v>8</v>
      </c>
      <c r="B33" s="1209" t="s">
        <v>8</v>
      </c>
      <c r="C33" s="112" t="s">
        <v>8</v>
      </c>
      <c r="D33" s="112" t="s">
        <v>8</v>
      </c>
      <c r="E33" s="113" t="s">
        <v>8</v>
      </c>
      <c r="F33" s="112" t="s">
        <v>8</v>
      </c>
      <c r="G33" s="1208" t="s">
        <v>8</v>
      </c>
      <c r="H33" s="112" t="s">
        <v>8</v>
      </c>
      <c r="I33" s="112" t="s">
        <v>8</v>
      </c>
    </row>
    <row r="34" spans="1:9" ht="15.75" thickBot="1">
      <c r="A34" s="112" t="s">
        <v>8</v>
      </c>
      <c r="B34" s="1209" t="s">
        <v>8</v>
      </c>
      <c r="C34" s="112" t="s">
        <v>8</v>
      </c>
      <c r="D34" s="112" t="s">
        <v>8</v>
      </c>
      <c r="E34" s="113" t="s">
        <v>8</v>
      </c>
      <c r="F34" s="112" t="s">
        <v>8</v>
      </c>
      <c r="G34" s="1208" t="s">
        <v>8</v>
      </c>
      <c r="H34" s="112" t="s">
        <v>8</v>
      </c>
      <c r="I34" s="112" t="s">
        <v>8</v>
      </c>
    </row>
    <row r="35" spans="1:9" ht="15.75" thickTop="1">
      <c r="A35" s="112" t="s">
        <v>8</v>
      </c>
      <c r="B35" s="1231" t="s">
        <v>8</v>
      </c>
      <c r="C35" s="1217" t="s">
        <v>8</v>
      </c>
      <c r="D35" s="1222" t="s">
        <v>253</v>
      </c>
      <c r="E35" s="1232" t="s">
        <v>8</v>
      </c>
      <c r="F35" s="1217" t="s">
        <v>8</v>
      </c>
      <c r="G35" s="1233" t="s">
        <v>8</v>
      </c>
      <c r="H35" s="1204" t="s">
        <v>8</v>
      </c>
      <c r="I35" s="112" t="s">
        <v>8</v>
      </c>
    </row>
    <row r="36" spans="1:9">
      <c r="A36" s="112" t="s">
        <v>8</v>
      </c>
      <c r="B36" s="1218" t="s">
        <v>8</v>
      </c>
      <c r="C36" s="1220" t="s">
        <v>8</v>
      </c>
      <c r="D36" s="1220" t="s">
        <v>8</v>
      </c>
      <c r="E36" s="1224" t="s">
        <v>8</v>
      </c>
      <c r="F36" s="1220" t="s">
        <v>8</v>
      </c>
      <c r="G36" s="1226" t="s">
        <v>8</v>
      </c>
      <c r="H36" s="1212" t="s">
        <v>8</v>
      </c>
      <c r="I36" s="112" t="s">
        <v>8</v>
      </c>
    </row>
    <row r="37" spans="1:9">
      <c r="A37" s="112" t="s">
        <v>8</v>
      </c>
      <c r="B37" s="1218" t="s">
        <v>8</v>
      </c>
      <c r="C37" s="1220" t="s">
        <v>8</v>
      </c>
      <c r="D37" s="1220" t="s">
        <v>8</v>
      </c>
      <c r="E37" s="1224" t="s">
        <v>8</v>
      </c>
      <c r="F37" s="1220" t="s">
        <v>8</v>
      </c>
      <c r="G37" s="1226" t="s">
        <v>8</v>
      </c>
      <c r="H37" s="1212" t="s">
        <v>8</v>
      </c>
      <c r="I37" s="112" t="s">
        <v>8</v>
      </c>
    </row>
    <row r="38" spans="1:9" ht="15.75" thickBot="1">
      <c r="A38" s="112" t="s">
        <v>8</v>
      </c>
      <c r="B38" s="1219" t="s">
        <v>8</v>
      </c>
      <c r="C38" s="1221" t="s">
        <v>8</v>
      </c>
      <c r="D38" s="1223" t="s">
        <v>51</v>
      </c>
      <c r="E38" s="1225">
        <f>SUM($E$36:$E$37)</f>
        <v>0</v>
      </c>
      <c r="F38" s="1221" t="s">
        <v>8</v>
      </c>
      <c r="G38" s="1227" t="s">
        <v>8</v>
      </c>
      <c r="H38" s="1207" t="s">
        <v>8</v>
      </c>
      <c r="I38" s="112" t="s">
        <v>8</v>
      </c>
    </row>
    <row r="39" spans="1:9" ht="16.5" thickTop="1" thickBot="1">
      <c r="A39" s="112" t="s">
        <v>8</v>
      </c>
      <c r="B39" s="1209" t="s">
        <v>8</v>
      </c>
      <c r="C39" s="112" t="s">
        <v>8</v>
      </c>
      <c r="D39" s="112" t="s">
        <v>8</v>
      </c>
      <c r="E39" s="113" t="s">
        <v>8</v>
      </c>
      <c r="F39" s="112" t="s">
        <v>8</v>
      </c>
      <c r="G39" s="1208" t="s">
        <v>8</v>
      </c>
      <c r="H39" s="112" t="s">
        <v>8</v>
      </c>
      <c r="I39" s="112" t="s">
        <v>8</v>
      </c>
    </row>
    <row r="40" spans="1:9" ht="15.75" thickTop="1">
      <c r="A40" s="112" t="s">
        <v>8</v>
      </c>
      <c r="B40" s="1228" t="s">
        <v>8</v>
      </c>
      <c r="C40" s="1203" t="s">
        <v>8</v>
      </c>
      <c r="D40" s="1203" t="s">
        <v>8</v>
      </c>
      <c r="E40" s="1229" t="s">
        <v>8</v>
      </c>
      <c r="F40" s="1203" t="s">
        <v>8</v>
      </c>
      <c r="G40" s="1230" t="s">
        <v>8</v>
      </c>
      <c r="H40" s="1204" t="s">
        <v>8</v>
      </c>
      <c r="I40" s="112" t="s">
        <v>8</v>
      </c>
    </row>
    <row r="41" spans="1:9">
      <c r="A41" s="112" t="s">
        <v>8</v>
      </c>
      <c r="B41" s="1211" t="s">
        <v>8</v>
      </c>
      <c r="C41" s="2092" t="s">
        <v>8</v>
      </c>
      <c r="D41" s="2094" t="s">
        <v>114</v>
      </c>
      <c r="E41" s="2093">
        <f>ABS(E13+$E$20-$E$38+$E$26-$E$32)</f>
        <v>0</v>
      </c>
      <c r="F41" s="2092" t="s">
        <v>8</v>
      </c>
      <c r="G41" s="2096" t="s">
        <v>8</v>
      </c>
      <c r="H41" s="1212" t="s">
        <v>8</v>
      </c>
      <c r="I41" s="112" t="s">
        <v>8</v>
      </c>
    </row>
    <row r="42" spans="1:9">
      <c r="A42" s="112" t="s">
        <v>8</v>
      </c>
      <c r="B42" s="1211" t="s">
        <v>8</v>
      </c>
      <c r="C42" s="2092" t="s">
        <v>8</v>
      </c>
      <c r="D42" s="2094" t="s">
        <v>115</v>
      </c>
      <c r="E42" s="2093">
        <v>0</v>
      </c>
      <c r="F42" s="2092" t="s">
        <v>8</v>
      </c>
      <c r="G42" s="2096" t="s">
        <v>8</v>
      </c>
      <c r="H42" s="1212" t="s">
        <v>8</v>
      </c>
      <c r="I42" s="112" t="s">
        <v>116</v>
      </c>
    </row>
    <row r="43" spans="1:9" ht="15.75" thickBot="1">
      <c r="A43" s="112" t="s">
        <v>8</v>
      </c>
      <c r="B43" s="1213" t="s">
        <v>8</v>
      </c>
      <c r="C43" s="1206" t="s">
        <v>8</v>
      </c>
      <c r="D43" s="1214" t="s">
        <v>117</v>
      </c>
      <c r="E43" s="1215">
        <f>$E$42-$E$41</f>
        <v>0</v>
      </c>
      <c r="F43" s="1206" t="s">
        <v>8</v>
      </c>
      <c r="G43" s="1216" t="s">
        <v>8</v>
      </c>
      <c r="H43" s="1207" t="s">
        <v>8</v>
      </c>
      <c r="I43" s="112" t="s">
        <v>8</v>
      </c>
    </row>
    <row r="44" spans="1:9" ht="16.5" thickTop="1" thickBot="1">
      <c r="A44" s="112" t="s">
        <v>8</v>
      </c>
      <c r="B44" s="1209" t="s">
        <v>8</v>
      </c>
      <c r="C44" s="112" t="s">
        <v>8</v>
      </c>
      <c r="D44" s="112" t="s">
        <v>8</v>
      </c>
      <c r="E44" s="113" t="s">
        <v>8</v>
      </c>
      <c r="F44" s="112" t="s">
        <v>8</v>
      </c>
      <c r="G44" s="1208" t="s">
        <v>8</v>
      </c>
      <c r="H44" s="112" t="s">
        <v>8</v>
      </c>
      <c r="I44" s="112" t="s">
        <v>8</v>
      </c>
    </row>
    <row r="45" spans="1:9" ht="15.75" thickTop="1">
      <c r="A45" s="112" t="s">
        <v>8</v>
      </c>
      <c r="B45" s="1228" t="s">
        <v>8</v>
      </c>
      <c r="C45" s="1203" t="s">
        <v>8</v>
      </c>
      <c r="D45" s="1210" t="s">
        <v>118</v>
      </c>
      <c r="E45" s="1234" t="s">
        <v>119</v>
      </c>
      <c r="F45" s="1210" t="s">
        <v>120</v>
      </c>
      <c r="G45" s="1230">
        <v>45981</v>
      </c>
      <c r="H45" s="1204" t="s">
        <v>8</v>
      </c>
      <c r="I45" s="112" t="s">
        <v>8</v>
      </c>
    </row>
    <row r="46" spans="1:9">
      <c r="A46" s="112" t="s">
        <v>8</v>
      </c>
      <c r="B46" s="1211" t="s">
        <v>8</v>
      </c>
      <c r="C46" s="2092" t="s">
        <v>8</v>
      </c>
      <c r="D46" s="2092" t="s">
        <v>8</v>
      </c>
      <c r="E46" s="2095" t="s">
        <v>8</v>
      </c>
      <c r="F46" s="2092" t="s">
        <v>8</v>
      </c>
      <c r="G46" s="2096" t="s">
        <v>8</v>
      </c>
      <c r="H46" s="1212" t="s">
        <v>8</v>
      </c>
      <c r="I46" s="112" t="s">
        <v>8</v>
      </c>
    </row>
    <row r="47" spans="1:9">
      <c r="A47" s="112" t="s">
        <v>8</v>
      </c>
      <c r="B47" s="1211" t="s">
        <v>8</v>
      </c>
      <c r="C47" s="2092" t="s">
        <v>8</v>
      </c>
      <c r="D47" s="2092" t="s">
        <v>8</v>
      </c>
      <c r="E47" s="2095" t="s">
        <v>8</v>
      </c>
      <c r="F47" s="2092" t="s">
        <v>8</v>
      </c>
      <c r="G47" s="2096" t="s">
        <v>8</v>
      </c>
      <c r="H47" s="1212" t="s">
        <v>8</v>
      </c>
      <c r="I47" s="112" t="s">
        <v>8</v>
      </c>
    </row>
    <row r="48" spans="1:9">
      <c r="A48" s="112" t="s">
        <v>8</v>
      </c>
      <c r="B48" s="1211" t="s">
        <v>8</v>
      </c>
      <c r="C48" s="2092" t="s">
        <v>8</v>
      </c>
      <c r="D48" s="2094" t="s">
        <v>121</v>
      </c>
      <c r="E48" s="2093" t="s">
        <v>8</v>
      </c>
      <c r="F48" s="2094" t="s">
        <v>120</v>
      </c>
      <c r="G48" s="2096" t="s">
        <v>8</v>
      </c>
      <c r="H48" s="1212" t="s">
        <v>8</v>
      </c>
      <c r="I48" s="112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4.28515625" bestFit="1" customWidth="1"/>
    <col min="5" max="5" width="24.5703125" bestFit="1" customWidth="1"/>
    <col min="6" max="6" width="19.71093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1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7" t="s">
        <v>5</v>
      </c>
      <c r="G1" s="117" t="s">
        <v>6</v>
      </c>
      <c r="H1" s="117" t="s">
        <v>7</v>
      </c>
      <c r="I1" s="117" t="s">
        <v>196</v>
      </c>
    </row>
    <row r="2" spans="1:9">
      <c r="A2" s="115" t="s">
        <v>8</v>
      </c>
      <c r="B2" s="115" t="s">
        <v>8</v>
      </c>
      <c r="C2" s="115" t="s">
        <v>8</v>
      </c>
      <c r="D2" s="115" t="s">
        <v>8</v>
      </c>
      <c r="E2" s="115" t="s">
        <v>8</v>
      </c>
      <c r="F2" s="115" t="s">
        <v>8</v>
      </c>
      <c r="G2" s="115" t="s">
        <v>8</v>
      </c>
      <c r="H2" s="115" t="s">
        <v>8</v>
      </c>
      <c r="I2" s="115" t="s">
        <v>8</v>
      </c>
    </row>
    <row r="3" spans="1:9" ht="15.75" thickBot="1">
      <c r="A3" s="115" t="s">
        <v>8</v>
      </c>
      <c r="B3" s="115" t="s">
        <v>8</v>
      </c>
      <c r="C3" s="115" t="s">
        <v>8</v>
      </c>
      <c r="D3" s="115" t="s">
        <v>8</v>
      </c>
      <c r="E3" s="115" t="s">
        <v>8</v>
      </c>
      <c r="F3" s="115" t="s">
        <v>8</v>
      </c>
      <c r="G3" s="115" t="s">
        <v>8</v>
      </c>
      <c r="H3" s="115" t="s">
        <v>8</v>
      </c>
      <c r="I3" s="115" t="s">
        <v>8</v>
      </c>
    </row>
    <row r="4" spans="1:9" ht="16.5" thickTop="1" thickBot="1">
      <c r="A4" s="115" t="s">
        <v>8</v>
      </c>
      <c r="B4" s="115" t="s">
        <v>14</v>
      </c>
      <c r="C4" s="115" t="s">
        <v>8</v>
      </c>
      <c r="D4" s="1236" t="s">
        <v>15</v>
      </c>
      <c r="E4" s="115" t="s">
        <v>16</v>
      </c>
      <c r="F4" s="1236" t="s">
        <v>257</v>
      </c>
      <c r="G4" s="115" t="s">
        <v>8</v>
      </c>
      <c r="H4" s="115" t="s">
        <v>8</v>
      </c>
      <c r="I4" s="115" t="s">
        <v>8</v>
      </c>
    </row>
    <row r="5" spans="1:9" ht="16.5" thickTop="1" thickBot="1">
      <c r="A5" s="115" t="s">
        <v>8</v>
      </c>
      <c r="B5" s="115" t="s">
        <v>8</v>
      </c>
      <c r="C5" s="115" t="s">
        <v>8</v>
      </c>
      <c r="D5" s="115" t="s">
        <v>8</v>
      </c>
      <c r="E5" s="115" t="s">
        <v>8</v>
      </c>
      <c r="F5" s="115" t="s">
        <v>8</v>
      </c>
      <c r="G5" s="115" t="s">
        <v>8</v>
      </c>
      <c r="H5" s="115" t="s">
        <v>8</v>
      </c>
      <c r="I5" s="115" t="s">
        <v>8</v>
      </c>
    </row>
    <row r="6" spans="1:9" ht="16.5" thickTop="1" thickBot="1">
      <c r="A6" s="115" t="s">
        <v>8</v>
      </c>
      <c r="B6" s="115" t="s">
        <v>18</v>
      </c>
      <c r="C6" s="115" t="s">
        <v>8</v>
      </c>
      <c r="D6" s="1236" t="s">
        <v>19</v>
      </c>
      <c r="E6" s="115" t="s">
        <v>20</v>
      </c>
      <c r="F6" s="1236" t="s">
        <v>258</v>
      </c>
      <c r="G6" s="115" t="s">
        <v>8</v>
      </c>
      <c r="H6" s="115" t="s">
        <v>8</v>
      </c>
      <c r="I6" s="115" t="s">
        <v>8</v>
      </c>
    </row>
    <row r="7" spans="1:9" ht="16.5" thickTop="1" thickBot="1">
      <c r="A7" s="115" t="s">
        <v>8</v>
      </c>
      <c r="B7" s="115" t="s">
        <v>8</v>
      </c>
      <c r="C7" s="115" t="s">
        <v>8</v>
      </c>
      <c r="D7" s="115" t="s">
        <v>8</v>
      </c>
      <c r="E7" s="115" t="s">
        <v>8</v>
      </c>
      <c r="F7" s="115" t="s">
        <v>8</v>
      </c>
      <c r="G7" s="115" t="s">
        <v>8</v>
      </c>
      <c r="H7" s="115" t="s">
        <v>8</v>
      </c>
      <c r="I7" s="115" t="s">
        <v>8</v>
      </c>
    </row>
    <row r="8" spans="1:9" ht="16.5" thickTop="1" thickBot="1">
      <c r="A8" s="115" t="s">
        <v>8</v>
      </c>
      <c r="B8" s="115" t="s">
        <v>22</v>
      </c>
      <c r="C8" s="115" t="s">
        <v>8</v>
      </c>
      <c r="D8" s="1236" t="s">
        <v>11</v>
      </c>
      <c r="E8" s="115" t="s">
        <v>23</v>
      </c>
      <c r="F8" s="1236" t="s">
        <v>259</v>
      </c>
      <c r="G8" s="115" t="s">
        <v>8</v>
      </c>
      <c r="H8" s="115" t="s">
        <v>8</v>
      </c>
      <c r="I8" s="115" t="s">
        <v>8</v>
      </c>
    </row>
    <row r="9" spans="1:9" ht="16.5" thickTop="1" thickBot="1">
      <c r="A9" s="115" t="s">
        <v>8</v>
      </c>
      <c r="B9" s="115" t="s">
        <v>8</v>
      </c>
      <c r="C9" s="115" t="s">
        <v>8</v>
      </c>
      <c r="D9" s="115" t="s">
        <v>8</v>
      </c>
      <c r="E9" s="115" t="s">
        <v>8</v>
      </c>
      <c r="F9" s="115" t="s">
        <v>8</v>
      </c>
      <c r="G9" s="115" t="s">
        <v>8</v>
      </c>
      <c r="H9" s="115" t="s">
        <v>8</v>
      </c>
      <c r="I9" s="115" t="s">
        <v>8</v>
      </c>
    </row>
    <row r="10" spans="1:9" ht="16.5" thickTop="1" thickBot="1">
      <c r="A10" s="115" t="s">
        <v>8</v>
      </c>
      <c r="B10" s="115" t="s">
        <v>25</v>
      </c>
      <c r="C10" s="115" t="s">
        <v>8</v>
      </c>
      <c r="D10" s="1236" t="s">
        <v>26</v>
      </c>
      <c r="E10" s="115" t="s">
        <v>8</v>
      </c>
      <c r="F10" s="115" t="s">
        <v>8</v>
      </c>
      <c r="G10" s="115" t="s">
        <v>8</v>
      </c>
      <c r="H10" s="115" t="s">
        <v>8</v>
      </c>
      <c r="I10" s="115" t="s">
        <v>8</v>
      </c>
    </row>
    <row r="11" spans="1:9" ht="16.5" thickTop="1" thickBot="1">
      <c r="A11" s="115" t="s">
        <v>8</v>
      </c>
      <c r="B11" s="115" t="s">
        <v>8</v>
      </c>
      <c r="C11" s="115" t="s">
        <v>8</v>
      </c>
      <c r="D11" s="115" t="s">
        <v>8</v>
      </c>
      <c r="E11" s="115" t="s">
        <v>8</v>
      </c>
      <c r="F11" s="115" t="s">
        <v>8</v>
      </c>
      <c r="G11" s="115" t="s">
        <v>8</v>
      </c>
      <c r="H11" s="115" t="s">
        <v>8</v>
      </c>
      <c r="I11" s="115" t="s">
        <v>8</v>
      </c>
    </row>
    <row r="12" spans="1:9" ht="16.5" thickTop="1" thickBot="1">
      <c r="A12" s="115" t="s">
        <v>8</v>
      </c>
      <c r="B12" s="1237" t="s">
        <v>8</v>
      </c>
      <c r="C12" s="1238" t="s">
        <v>8</v>
      </c>
      <c r="D12" s="1238" t="s">
        <v>8</v>
      </c>
      <c r="E12" s="1238" t="s">
        <v>8</v>
      </c>
      <c r="F12" s="1238" t="s">
        <v>8</v>
      </c>
      <c r="G12" s="1238" t="s">
        <v>8</v>
      </c>
      <c r="H12" s="1239" t="s">
        <v>8</v>
      </c>
      <c r="I12" s="115" t="s">
        <v>8</v>
      </c>
    </row>
    <row r="13" spans="1:9" ht="16.5" thickTop="1" thickBot="1">
      <c r="A13" s="115" t="s">
        <v>8</v>
      </c>
      <c r="B13" s="1240" t="s">
        <v>8</v>
      </c>
      <c r="C13" s="1235" t="s">
        <v>11</v>
      </c>
      <c r="D13" s="1241" t="s">
        <v>28</v>
      </c>
      <c r="E13" s="1250">
        <v>4668031.8499999996</v>
      </c>
      <c r="F13" s="1241" t="s">
        <v>8</v>
      </c>
      <c r="G13" s="1241" t="s">
        <v>8</v>
      </c>
      <c r="H13" s="1242" t="s">
        <v>8</v>
      </c>
      <c r="I13" s="115" t="s">
        <v>29</v>
      </c>
    </row>
    <row r="14" spans="1:9" ht="16.5" thickTop="1" thickBot="1">
      <c r="A14" s="115" t="s">
        <v>8</v>
      </c>
      <c r="B14" s="115" t="s">
        <v>8</v>
      </c>
      <c r="C14" s="115" t="s">
        <v>8</v>
      </c>
      <c r="D14" s="115" t="s">
        <v>8</v>
      </c>
      <c r="E14" s="115" t="s">
        <v>8</v>
      </c>
      <c r="F14" s="115" t="s">
        <v>8</v>
      </c>
      <c r="G14" s="115" t="s">
        <v>8</v>
      </c>
      <c r="H14" s="115" t="s">
        <v>8</v>
      </c>
      <c r="I14" s="115" t="s">
        <v>8</v>
      </c>
    </row>
    <row r="15" spans="1:9" ht="16.5" thickTop="1" thickBot="1">
      <c r="A15" s="115" t="s">
        <v>8</v>
      </c>
      <c r="B15" s="1236" t="s">
        <v>30</v>
      </c>
      <c r="C15" s="1235" t="s">
        <v>31</v>
      </c>
      <c r="D15" s="1235" t="s">
        <v>32</v>
      </c>
      <c r="E15" s="1235" t="s">
        <v>33</v>
      </c>
      <c r="F15" s="1235" t="s">
        <v>34</v>
      </c>
      <c r="G15" s="1235" t="s">
        <v>35</v>
      </c>
      <c r="H15" s="1235" t="s">
        <v>36</v>
      </c>
      <c r="I15" s="115" t="s">
        <v>8</v>
      </c>
    </row>
    <row r="16" spans="1:9" ht="16.5" thickTop="1" thickBot="1">
      <c r="A16" s="115" t="s">
        <v>8</v>
      </c>
      <c r="B16" s="115" t="s">
        <v>8</v>
      </c>
      <c r="C16" s="115" t="s">
        <v>8</v>
      </c>
      <c r="D16" s="115" t="s">
        <v>8</v>
      </c>
      <c r="E16" s="115" t="s">
        <v>8</v>
      </c>
      <c r="F16" s="115" t="s">
        <v>8</v>
      </c>
      <c r="G16" s="115" t="s">
        <v>8</v>
      </c>
      <c r="H16" s="115" t="s">
        <v>8</v>
      </c>
      <c r="I16" s="115" t="s">
        <v>8</v>
      </c>
    </row>
    <row r="17" spans="1:9" ht="15.75" thickTop="1">
      <c r="A17" s="115" t="s">
        <v>8</v>
      </c>
      <c r="B17" s="1252" t="s">
        <v>8</v>
      </c>
      <c r="C17" s="1252" t="s">
        <v>8</v>
      </c>
      <c r="D17" s="1257" t="s">
        <v>250</v>
      </c>
      <c r="E17" s="1252" t="s">
        <v>8</v>
      </c>
      <c r="F17" s="1252" t="s">
        <v>8</v>
      </c>
      <c r="G17" s="1252" t="s">
        <v>8</v>
      </c>
      <c r="H17" s="1239" t="s">
        <v>8</v>
      </c>
      <c r="I17" s="115" t="s">
        <v>8</v>
      </c>
    </row>
    <row r="18" spans="1:9">
      <c r="A18" s="115" t="s">
        <v>8</v>
      </c>
      <c r="B18" s="1253" t="s">
        <v>8</v>
      </c>
      <c r="C18" s="1255" t="s">
        <v>8</v>
      </c>
      <c r="D18" s="1255" t="s">
        <v>8</v>
      </c>
      <c r="E18" s="1259" t="s">
        <v>8</v>
      </c>
      <c r="F18" s="1255" t="s">
        <v>8</v>
      </c>
      <c r="G18" s="1261" t="s">
        <v>8</v>
      </c>
      <c r="H18" s="1247" t="s">
        <v>8</v>
      </c>
      <c r="I18" s="115" t="s">
        <v>8</v>
      </c>
    </row>
    <row r="19" spans="1:9">
      <c r="A19" s="115" t="s">
        <v>8</v>
      </c>
      <c r="B19" s="1253" t="s">
        <v>8</v>
      </c>
      <c r="C19" s="1255" t="s">
        <v>8</v>
      </c>
      <c r="D19" s="1255" t="s">
        <v>8</v>
      </c>
      <c r="E19" s="1259" t="s">
        <v>8</v>
      </c>
      <c r="F19" s="1255" t="s">
        <v>8</v>
      </c>
      <c r="G19" s="1261" t="s">
        <v>8</v>
      </c>
      <c r="H19" s="1247" t="s">
        <v>8</v>
      </c>
      <c r="I19" s="115" t="s">
        <v>8</v>
      </c>
    </row>
    <row r="20" spans="1:9" ht="15.75" thickBot="1">
      <c r="A20" s="115" t="s">
        <v>8</v>
      </c>
      <c r="B20" s="1254" t="s">
        <v>8</v>
      </c>
      <c r="C20" s="1256" t="s">
        <v>8</v>
      </c>
      <c r="D20" s="1258" t="s">
        <v>51</v>
      </c>
      <c r="E20" s="1260">
        <f>SUM($E$18:$E$19)</f>
        <v>0</v>
      </c>
      <c r="F20" s="1256" t="s">
        <v>8</v>
      </c>
      <c r="G20" s="1262" t="s">
        <v>8</v>
      </c>
      <c r="H20" s="1242" t="s">
        <v>8</v>
      </c>
      <c r="I20" s="115" t="s">
        <v>8</v>
      </c>
    </row>
    <row r="21" spans="1:9" ht="15.75" thickTop="1">
      <c r="A21" s="115" t="s">
        <v>8</v>
      </c>
      <c r="B21" s="1244" t="s">
        <v>8</v>
      </c>
      <c r="C21" s="115" t="s">
        <v>8</v>
      </c>
      <c r="D21" s="115" t="s">
        <v>8</v>
      </c>
      <c r="E21" s="116" t="s">
        <v>8</v>
      </c>
      <c r="F21" s="115" t="s">
        <v>8</v>
      </c>
      <c r="G21" s="1243" t="s">
        <v>8</v>
      </c>
      <c r="H21" s="115" t="s">
        <v>8</v>
      </c>
      <c r="I21" s="115" t="s">
        <v>8</v>
      </c>
    </row>
    <row r="22" spans="1:9" ht="15.75" thickBot="1">
      <c r="A22" s="115" t="s">
        <v>8</v>
      </c>
      <c r="B22" s="1244" t="s">
        <v>8</v>
      </c>
      <c r="C22" s="115" t="s">
        <v>8</v>
      </c>
      <c r="D22" s="115" t="s">
        <v>8</v>
      </c>
      <c r="E22" s="116" t="s">
        <v>8</v>
      </c>
      <c r="F22" s="115" t="s">
        <v>8</v>
      </c>
      <c r="G22" s="1243" t="s">
        <v>8</v>
      </c>
      <c r="H22" s="115" t="s">
        <v>8</v>
      </c>
      <c r="I22" s="115" t="s">
        <v>8</v>
      </c>
    </row>
    <row r="23" spans="1:9" ht="15.75" thickTop="1">
      <c r="A23" s="115" t="s">
        <v>8</v>
      </c>
      <c r="B23" s="1266" t="s">
        <v>8</v>
      </c>
      <c r="C23" s="1252" t="s">
        <v>8</v>
      </c>
      <c r="D23" s="1257" t="s">
        <v>251</v>
      </c>
      <c r="E23" s="1267" t="s">
        <v>8</v>
      </c>
      <c r="F23" s="1252" t="s">
        <v>8</v>
      </c>
      <c r="G23" s="1268" t="s">
        <v>8</v>
      </c>
      <c r="H23" s="1239" t="s">
        <v>8</v>
      </c>
      <c r="I23" s="115" t="s">
        <v>8</v>
      </c>
    </row>
    <row r="24" spans="1:9">
      <c r="A24" s="115" t="s">
        <v>8</v>
      </c>
      <c r="B24" s="1253" t="s">
        <v>8</v>
      </c>
      <c r="C24" s="1255" t="s">
        <v>8</v>
      </c>
      <c r="D24" s="1255" t="s">
        <v>8</v>
      </c>
      <c r="E24" s="1259" t="s">
        <v>8</v>
      </c>
      <c r="F24" s="1255" t="s">
        <v>8</v>
      </c>
      <c r="G24" s="1261" t="s">
        <v>8</v>
      </c>
      <c r="H24" s="1247" t="s">
        <v>8</v>
      </c>
      <c r="I24" s="115" t="s">
        <v>8</v>
      </c>
    </row>
    <row r="25" spans="1:9">
      <c r="A25" s="115" t="s">
        <v>8</v>
      </c>
      <c r="B25" s="1253" t="s">
        <v>8</v>
      </c>
      <c r="C25" s="1255" t="s">
        <v>8</v>
      </c>
      <c r="D25" s="1255" t="s">
        <v>8</v>
      </c>
      <c r="E25" s="1259" t="s">
        <v>8</v>
      </c>
      <c r="F25" s="1255" t="s">
        <v>8</v>
      </c>
      <c r="G25" s="1261" t="s">
        <v>8</v>
      </c>
      <c r="H25" s="1247" t="s">
        <v>8</v>
      </c>
      <c r="I25" s="115" t="s">
        <v>8</v>
      </c>
    </row>
    <row r="26" spans="1:9" ht="15.75" thickBot="1">
      <c r="A26" s="115" t="s">
        <v>8</v>
      </c>
      <c r="B26" s="1254" t="s">
        <v>8</v>
      </c>
      <c r="C26" s="1256" t="s">
        <v>8</v>
      </c>
      <c r="D26" s="1258" t="s">
        <v>51</v>
      </c>
      <c r="E26" s="1260">
        <f>SUM($E$24:$E$25)</f>
        <v>0</v>
      </c>
      <c r="F26" s="1256" t="s">
        <v>8</v>
      </c>
      <c r="G26" s="1262" t="s">
        <v>8</v>
      </c>
      <c r="H26" s="1242" t="s">
        <v>8</v>
      </c>
      <c r="I26" s="115" t="s">
        <v>8</v>
      </c>
    </row>
    <row r="27" spans="1:9" ht="15.75" thickTop="1">
      <c r="A27" s="115" t="s">
        <v>8</v>
      </c>
      <c r="B27" s="1244" t="s">
        <v>8</v>
      </c>
      <c r="C27" s="115" t="s">
        <v>8</v>
      </c>
      <c r="D27" s="115" t="s">
        <v>8</v>
      </c>
      <c r="E27" s="116" t="s">
        <v>8</v>
      </c>
      <c r="F27" s="115" t="s">
        <v>8</v>
      </c>
      <c r="G27" s="1243" t="s">
        <v>8</v>
      </c>
      <c r="H27" s="115" t="s">
        <v>8</v>
      </c>
      <c r="I27" s="115" t="s">
        <v>8</v>
      </c>
    </row>
    <row r="28" spans="1:9" ht="15.75" thickBot="1">
      <c r="A28" s="115" t="s">
        <v>8</v>
      </c>
      <c r="B28" s="1244" t="s">
        <v>8</v>
      </c>
      <c r="C28" s="115" t="s">
        <v>8</v>
      </c>
      <c r="D28" s="115" t="s">
        <v>8</v>
      </c>
      <c r="E28" s="116" t="s">
        <v>8</v>
      </c>
      <c r="F28" s="115" t="s">
        <v>8</v>
      </c>
      <c r="G28" s="1243" t="s">
        <v>8</v>
      </c>
      <c r="H28" s="115" t="s">
        <v>8</v>
      </c>
      <c r="I28" s="115" t="s">
        <v>8</v>
      </c>
    </row>
    <row r="29" spans="1:9" ht="15.75" thickTop="1">
      <c r="A29" s="115" t="s">
        <v>8</v>
      </c>
      <c r="B29" s="1266" t="s">
        <v>8</v>
      </c>
      <c r="C29" s="1252" t="s">
        <v>8</v>
      </c>
      <c r="D29" s="1257" t="s">
        <v>252</v>
      </c>
      <c r="E29" s="1267" t="s">
        <v>8</v>
      </c>
      <c r="F29" s="1252" t="s">
        <v>8</v>
      </c>
      <c r="G29" s="1268" t="s">
        <v>8</v>
      </c>
      <c r="H29" s="1239" t="s">
        <v>8</v>
      </c>
      <c r="I29" s="115" t="s">
        <v>8</v>
      </c>
    </row>
    <row r="30" spans="1:9">
      <c r="A30" s="115" t="s">
        <v>8</v>
      </c>
      <c r="B30" s="1253" t="s">
        <v>8</v>
      </c>
      <c r="C30" s="1255" t="s">
        <v>8</v>
      </c>
      <c r="D30" s="1255" t="s">
        <v>8</v>
      </c>
      <c r="E30" s="1259" t="s">
        <v>8</v>
      </c>
      <c r="F30" s="1255" t="s">
        <v>8</v>
      </c>
      <c r="G30" s="1261" t="s">
        <v>8</v>
      </c>
      <c r="H30" s="1247" t="s">
        <v>8</v>
      </c>
      <c r="I30" s="115" t="s">
        <v>8</v>
      </c>
    </row>
    <row r="31" spans="1:9">
      <c r="A31" s="115" t="s">
        <v>8</v>
      </c>
      <c r="B31" s="1253" t="s">
        <v>8</v>
      </c>
      <c r="C31" s="1255" t="s">
        <v>8</v>
      </c>
      <c r="D31" s="1255" t="s">
        <v>8</v>
      </c>
      <c r="E31" s="1259" t="s">
        <v>8</v>
      </c>
      <c r="F31" s="1255" t="s">
        <v>8</v>
      </c>
      <c r="G31" s="1261" t="s">
        <v>8</v>
      </c>
      <c r="H31" s="1247" t="s">
        <v>8</v>
      </c>
      <c r="I31" s="115" t="s">
        <v>8</v>
      </c>
    </row>
    <row r="32" spans="1:9" ht="15.75" thickBot="1">
      <c r="A32" s="115" t="s">
        <v>8</v>
      </c>
      <c r="B32" s="1254" t="s">
        <v>8</v>
      </c>
      <c r="C32" s="1256" t="s">
        <v>8</v>
      </c>
      <c r="D32" s="1258" t="s">
        <v>51</v>
      </c>
      <c r="E32" s="1260">
        <f>SUM($E$30:$E$31)</f>
        <v>0</v>
      </c>
      <c r="F32" s="1256" t="s">
        <v>8</v>
      </c>
      <c r="G32" s="1262" t="s">
        <v>8</v>
      </c>
      <c r="H32" s="1242" t="s">
        <v>8</v>
      </c>
      <c r="I32" s="115" t="s">
        <v>8</v>
      </c>
    </row>
    <row r="33" spans="1:9" ht="15.75" thickTop="1">
      <c r="A33" s="115" t="s">
        <v>8</v>
      </c>
      <c r="B33" s="1244" t="s">
        <v>8</v>
      </c>
      <c r="C33" s="115" t="s">
        <v>8</v>
      </c>
      <c r="D33" s="115" t="s">
        <v>8</v>
      </c>
      <c r="E33" s="116" t="s">
        <v>8</v>
      </c>
      <c r="F33" s="115" t="s">
        <v>8</v>
      </c>
      <c r="G33" s="1243" t="s">
        <v>8</v>
      </c>
      <c r="H33" s="115" t="s">
        <v>8</v>
      </c>
      <c r="I33" s="115" t="s">
        <v>8</v>
      </c>
    </row>
    <row r="34" spans="1:9" ht="15.75" thickBot="1">
      <c r="A34" s="115" t="s">
        <v>8</v>
      </c>
      <c r="B34" s="1244" t="s">
        <v>8</v>
      </c>
      <c r="C34" s="115" t="s">
        <v>8</v>
      </c>
      <c r="D34" s="115" t="s">
        <v>8</v>
      </c>
      <c r="E34" s="116" t="s">
        <v>8</v>
      </c>
      <c r="F34" s="115" t="s">
        <v>8</v>
      </c>
      <c r="G34" s="1243" t="s">
        <v>8</v>
      </c>
      <c r="H34" s="115" t="s">
        <v>8</v>
      </c>
      <c r="I34" s="115" t="s">
        <v>8</v>
      </c>
    </row>
    <row r="35" spans="1:9" ht="15.75" thickTop="1">
      <c r="A35" s="115" t="s">
        <v>8</v>
      </c>
      <c r="B35" s="1266" t="s">
        <v>8</v>
      </c>
      <c r="C35" s="1252" t="s">
        <v>8</v>
      </c>
      <c r="D35" s="1257" t="s">
        <v>253</v>
      </c>
      <c r="E35" s="1267" t="s">
        <v>8</v>
      </c>
      <c r="F35" s="1252" t="s">
        <v>8</v>
      </c>
      <c r="G35" s="1268" t="s">
        <v>8</v>
      </c>
      <c r="H35" s="1239" t="s">
        <v>8</v>
      </c>
      <c r="I35" s="115" t="s">
        <v>8</v>
      </c>
    </row>
    <row r="36" spans="1:9">
      <c r="A36" s="115" t="s">
        <v>8</v>
      </c>
      <c r="B36" s="1253" t="s">
        <v>8</v>
      </c>
      <c r="C36" s="1255" t="s">
        <v>8</v>
      </c>
      <c r="D36" s="1255" t="s">
        <v>8</v>
      </c>
      <c r="E36" s="1259" t="s">
        <v>8</v>
      </c>
      <c r="F36" s="1255" t="s">
        <v>8</v>
      </c>
      <c r="G36" s="1261" t="s">
        <v>8</v>
      </c>
      <c r="H36" s="1247" t="s">
        <v>8</v>
      </c>
      <c r="I36" s="115" t="s">
        <v>8</v>
      </c>
    </row>
    <row r="37" spans="1:9">
      <c r="A37" s="115" t="s">
        <v>8</v>
      </c>
      <c r="B37" s="1253" t="s">
        <v>8</v>
      </c>
      <c r="C37" s="1255" t="s">
        <v>8</v>
      </c>
      <c r="D37" s="1255" t="s">
        <v>8</v>
      </c>
      <c r="E37" s="1259" t="s">
        <v>8</v>
      </c>
      <c r="F37" s="1255" t="s">
        <v>8</v>
      </c>
      <c r="G37" s="1261" t="s">
        <v>8</v>
      </c>
      <c r="H37" s="1247" t="s">
        <v>8</v>
      </c>
      <c r="I37" s="115" t="s">
        <v>8</v>
      </c>
    </row>
    <row r="38" spans="1:9" ht="15.75" thickBot="1">
      <c r="A38" s="115" t="s">
        <v>8</v>
      </c>
      <c r="B38" s="1254" t="s">
        <v>8</v>
      </c>
      <c r="C38" s="1256" t="s">
        <v>8</v>
      </c>
      <c r="D38" s="1258" t="s">
        <v>51</v>
      </c>
      <c r="E38" s="1260">
        <f>SUM($E$36:$E$37)</f>
        <v>0</v>
      </c>
      <c r="F38" s="1256" t="s">
        <v>8</v>
      </c>
      <c r="G38" s="1262" t="s">
        <v>8</v>
      </c>
      <c r="H38" s="1242" t="s">
        <v>8</v>
      </c>
      <c r="I38" s="115" t="s">
        <v>8</v>
      </c>
    </row>
    <row r="39" spans="1:9" ht="16.5" thickTop="1" thickBot="1">
      <c r="A39" s="115" t="s">
        <v>8</v>
      </c>
      <c r="B39" s="1244" t="s">
        <v>8</v>
      </c>
      <c r="C39" s="115" t="s">
        <v>8</v>
      </c>
      <c r="D39" s="115" t="s">
        <v>8</v>
      </c>
      <c r="E39" s="116" t="s">
        <v>8</v>
      </c>
      <c r="F39" s="115" t="s">
        <v>8</v>
      </c>
      <c r="G39" s="1243" t="s">
        <v>8</v>
      </c>
      <c r="H39" s="115" t="s">
        <v>8</v>
      </c>
      <c r="I39" s="115" t="s">
        <v>8</v>
      </c>
    </row>
    <row r="40" spans="1:9" ht="15.75" thickTop="1">
      <c r="A40" s="115" t="s">
        <v>8</v>
      </c>
      <c r="B40" s="1263" t="s">
        <v>8</v>
      </c>
      <c r="C40" s="1238" t="s">
        <v>8</v>
      </c>
      <c r="D40" s="1238" t="s">
        <v>8</v>
      </c>
      <c r="E40" s="1264" t="s">
        <v>8</v>
      </c>
      <c r="F40" s="1238" t="s">
        <v>8</v>
      </c>
      <c r="G40" s="1265" t="s">
        <v>8</v>
      </c>
      <c r="H40" s="1239" t="s">
        <v>8</v>
      </c>
      <c r="I40" s="115" t="s">
        <v>8</v>
      </c>
    </row>
    <row r="41" spans="1:9">
      <c r="A41" s="115" t="s">
        <v>8</v>
      </c>
      <c r="B41" s="1246" t="s">
        <v>8</v>
      </c>
      <c r="C41" s="2097" t="s">
        <v>8</v>
      </c>
      <c r="D41" s="2099" t="s">
        <v>114</v>
      </c>
      <c r="E41" s="2098">
        <f>ABS(E13+$E$20-$E$38+$E$26-$E$32)</f>
        <v>4668031.8499999996</v>
      </c>
      <c r="F41" s="2097" t="s">
        <v>8</v>
      </c>
      <c r="G41" s="2101" t="s">
        <v>8</v>
      </c>
      <c r="H41" s="1247" t="s">
        <v>8</v>
      </c>
      <c r="I41" s="115" t="s">
        <v>8</v>
      </c>
    </row>
    <row r="42" spans="1:9">
      <c r="A42" s="115" t="s">
        <v>8</v>
      </c>
      <c r="B42" s="1246" t="s">
        <v>8</v>
      </c>
      <c r="C42" s="2097" t="s">
        <v>8</v>
      </c>
      <c r="D42" s="2099" t="s">
        <v>115</v>
      </c>
      <c r="E42" s="2098">
        <v>4668031.8499999996</v>
      </c>
      <c r="F42" s="2097" t="s">
        <v>8</v>
      </c>
      <c r="G42" s="2101" t="s">
        <v>8</v>
      </c>
      <c r="H42" s="1247" t="s">
        <v>8</v>
      </c>
      <c r="I42" s="115" t="s">
        <v>29</v>
      </c>
    </row>
    <row r="43" spans="1:9" ht="15.75" thickBot="1">
      <c r="A43" s="115" t="s">
        <v>8</v>
      </c>
      <c r="B43" s="1248" t="s">
        <v>8</v>
      </c>
      <c r="C43" s="1241" t="s">
        <v>8</v>
      </c>
      <c r="D43" s="1249" t="s">
        <v>117</v>
      </c>
      <c r="E43" s="1250">
        <f>$E$42-$E$41</f>
        <v>0</v>
      </c>
      <c r="F43" s="1241" t="s">
        <v>8</v>
      </c>
      <c r="G43" s="1251" t="s">
        <v>8</v>
      </c>
      <c r="H43" s="1242" t="s">
        <v>8</v>
      </c>
      <c r="I43" s="115" t="s">
        <v>8</v>
      </c>
    </row>
    <row r="44" spans="1:9" ht="16.5" thickTop="1" thickBot="1">
      <c r="A44" s="115" t="s">
        <v>8</v>
      </c>
      <c r="B44" s="1244" t="s">
        <v>8</v>
      </c>
      <c r="C44" s="115" t="s">
        <v>8</v>
      </c>
      <c r="D44" s="115" t="s">
        <v>8</v>
      </c>
      <c r="E44" s="116" t="s">
        <v>8</v>
      </c>
      <c r="F44" s="115" t="s">
        <v>8</v>
      </c>
      <c r="G44" s="1243" t="s">
        <v>8</v>
      </c>
      <c r="H44" s="115" t="s">
        <v>8</v>
      </c>
      <c r="I44" s="115" t="s">
        <v>8</v>
      </c>
    </row>
    <row r="45" spans="1:9" ht="15.75" thickTop="1">
      <c r="A45" s="115" t="s">
        <v>8</v>
      </c>
      <c r="B45" s="1263" t="s">
        <v>8</v>
      </c>
      <c r="C45" s="1238" t="s">
        <v>8</v>
      </c>
      <c r="D45" s="1245" t="s">
        <v>118</v>
      </c>
      <c r="E45" s="1269" t="s">
        <v>119</v>
      </c>
      <c r="F45" s="1245" t="s">
        <v>120</v>
      </c>
      <c r="G45" s="1265">
        <v>45981</v>
      </c>
      <c r="H45" s="1239" t="s">
        <v>8</v>
      </c>
      <c r="I45" s="115" t="s">
        <v>8</v>
      </c>
    </row>
    <row r="46" spans="1:9">
      <c r="A46" s="115" t="s">
        <v>8</v>
      </c>
      <c r="B46" s="1246" t="s">
        <v>8</v>
      </c>
      <c r="C46" s="2097" t="s">
        <v>8</v>
      </c>
      <c r="D46" s="2097" t="s">
        <v>8</v>
      </c>
      <c r="E46" s="2100" t="s">
        <v>8</v>
      </c>
      <c r="F46" s="2097" t="s">
        <v>8</v>
      </c>
      <c r="G46" s="2101" t="s">
        <v>8</v>
      </c>
      <c r="H46" s="1247" t="s">
        <v>8</v>
      </c>
      <c r="I46" s="115" t="s">
        <v>8</v>
      </c>
    </row>
    <row r="47" spans="1:9">
      <c r="A47" s="115" t="s">
        <v>8</v>
      </c>
      <c r="B47" s="1246" t="s">
        <v>8</v>
      </c>
      <c r="C47" s="2097" t="s">
        <v>8</v>
      </c>
      <c r="D47" s="2097" t="s">
        <v>8</v>
      </c>
      <c r="E47" s="2100" t="s">
        <v>8</v>
      </c>
      <c r="F47" s="2097" t="s">
        <v>8</v>
      </c>
      <c r="G47" s="2101" t="s">
        <v>8</v>
      </c>
      <c r="H47" s="1247" t="s">
        <v>8</v>
      </c>
      <c r="I47" s="115" t="s">
        <v>8</v>
      </c>
    </row>
    <row r="48" spans="1:9">
      <c r="A48" s="115" t="s">
        <v>8</v>
      </c>
      <c r="B48" s="1246" t="s">
        <v>8</v>
      </c>
      <c r="C48" s="2097" t="s">
        <v>8</v>
      </c>
      <c r="D48" s="2099" t="s">
        <v>121</v>
      </c>
      <c r="E48" s="2098" t="s">
        <v>8</v>
      </c>
      <c r="F48" s="2099" t="s">
        <v>120</v>
      </c>
      <c r="G48" s="2101" t="s">
        <v>8</v>
      </c>
      <c r="H48" s="1247" t="s">
        <v>8</v>
      </c>
      <c r="I48" s="115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71.140625" bestFit="1" customWidth="1"/>
    <col min="5" max="5" width="24.5703125" bestFit="1" customWidth="1"/>
    <col min="6" max="6" width="23.5703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20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  <c r="I1" s="120" t="s">
        <v>196</v>
      </c>
    </row>
    <row r="2" spans="1:9">
      <c r="A2" s="118" t="s">
        <v>8</v>
      </c>
      <c r="B2" s="118" t="s">
        <v>8</v>
      </c>
      <c r="C2" s="118" t="s">
        <v>8</v>
      </c>
      <c r="D2" s="118" t="s">
        <v>8</v>
      </c>
      <c r="E2" s="118" t="s">
        <v>8</v>
      </c>
      <c r="F2" s="118" t="s">
        <v>8</v>
      </c>
      <c r="G2" s="118" t="s">
        <v>8</v>
      </c>
      <c r="H2" s="118" t="s">
        <v>8</v>
      </c>
      <c r="I2" s="118" t="s">
        <v>8</v>
      </c>
    </row>
    <row r="3" spans="1:9" ht="15.75" thickBot="1">
      <c r="A3" s="118" t="s">
        <v>8</v>
      </c>
      <c r="B3" s="118" t="s">
        <v>8</v>
      </c>
      <c r="C3" s="118" t="s">
        <v>8</v>
      </c>
      <c r="D3" s="118" t="s">
        <v>8</v>
      </c>
      <c r="E3" s="118" t="s">
        <v>8</v>
      </c>
      <c r="F3" s="118" t="s">
        <v>8</v>
      </c>
      <c r="G3" s="118" t="s">
        <v>8</v>
      </c>
      <c r="H3" s="118" t="s">
        <v>8</v>
      </c>
      <c r="I3" s="118" t="s">
        <v>8</v>
      </c>
    </row>
    <row r="4" spans="1:9" ht="16.5" thickTop="1" thickBot="1">
      <c r="A4" s="118" t="s">
        <v>8</v>
      </c>
      <c r="B4" s="118" t="s">
        <v>14</v>
      </c>
      <c r="C4" s="118" t="s">
        <v>8</v>
      </c>
      <c r="D4" s="1271" t="s">
        <v>15</v>
      </c>
      <c r="E4" s="118" t="s">
        <v>16</v>
      </c>
      <c r="F4" s="1271" t="s">
        <v>260</v>
      </c>
      <c r="G4" s="118" t="s">
        <v>8</v>
      </c>
      <c r="H4" s="118" t="s">
        <v>8</v>
      </c>
      <c r="I4" s="118" t="s">
        <v>8</v>
      </c>
    </row>
    <row r="5" spans="1:9" ht="16.5" thickTop="1" thickBot="1">
      <c r="A5" s="118" t="s">
        <v>8</v>
      </c>
      <c r="B5" s="118" t="s">
        <v>8</v>
      </c>
      <c r="C5" s="118" t="s">
        <v>8</v>
      </c>
      <c r="D5" s="118" t="s">
        <v>8</v>
      </c>
      <c r="E5" s="118" t="s">
        <v>8</v>
      </c>
      <c r="F5" s="118" t="s">
        <v>8</v>
      </c>
      <c r="G5" s="118" t="s">
        <v>8</v>
      </c>
      <c r="H5" s="118" t="s">
        <v>8</v>
      </c>
      <c r="I5" s="118" t="s">
        <v>8</v>
      </c>
    </row>
    <row r="6" spans="1:9" ht="16.5" thickTop="1" thickBot="1">
      <c r="A6" s="118" t="s">
        <v>8</v>
      </c>
      <c r="B6" s="118" t="s">
        <v>18</v>
      </c>
      <c r="C6" s="118" t="s">
        <v>8</v>
      </c>
      <c r="D6" s="1271" t="s">
        <v>19</v>
      </c>
      <c r="E6" s="118" t="s">
        <v>20</v>
      </c>
      <c r="F6" s="1271" t="s">
        <v>261</v>
      </c>
      <c r="G6" s="118" t="s">
        <v>8</v>
      </c>
      <c r="H6" s="118" t="s">
        <v>8</v>
      </c>
      <c r="I6" s="118" t="s">
        <v>8</v>
      </c>
    </row>
    <row r="7" spans="1:9" ht="16.5" thickTop="1" thickBot="1">
      <c r="A7" s="118" t="s">
        <v>8</v>
      </c>
      <c r="B7" s="118" t="s">
        <v>8</v>
      </c>
      <c r="C7" s="118" t="s">
        <v>8</v>
      </c>
      <c r="D7" s="118" t="s">
        <v>8</v>
      </c>
      <c r="E7" s="118" t="s">
        <v>8</v>
      </c>
      <c r="F7" s="118" t="s">
        <v>8</v>
      </c>
      <c r="G7" s="118" t="s">
        <v>8</v>
      </c>
      <c r="H7" s="118" t="s">
        <v>8</v>
      </c>
      <c r="I7" s="118" t="s">
        <v>8</v>
      </c>
    </row>
    <row r="8" spans="1:9" ht="16.5" thickTop="1" thickBot="1">
      <c r="A8" s="118" t="s">
        <v>8</v>
      </c>
      <c r="B8" s="118" t="s">
        <v>22</v>
      </c>
      <c r="C8" s="118" t="s">
        <v>8</v>
      </c>
      <c r="D8" s="1271" t="s">
        <v>11</v>
      </c>
      <c r="E8" s="118" t="s">
        <v>23</v>
      </c>
      <c r="F8" s="1271" t="s">
        <v>262</v>
      </c>
      <c r="G8" s="118" t="s">
        <v>8</v>
      </c>
      <c r="H8" s="118" t="s">
        <v>8</v>
      </c>
      <c r="I8" s="118" t="s">
        <v>8</v>
      </c>
    </row>
    <row r="9" spans="1:9" ht="16.5" thickTop="1" thickBot="1">
      <c r="A9" s="118" t="s">
        <v>8</v>
      </c>
      <c r="B9" s="118" t="s">
        <v>8</v>
      </c>
      <c r="C9" s="118" t="s">
        <v>8</v>
      </c>
      <c r="D9" s="118" t="s">
        <v>8</v>
      </c>
      <c r="E9" s="118" t="s">
        <v>8</v>
      </c>
      <c r="F9" s="118" t="s">
        <v>8</v>
      </c>
      <c r="G9" s="118" t="s">
        <v>8</v>
      </c>
      <c r="H9" s="118" t="s">
        <v>8</v>
      </c>
      <c r="I9" s="118" t="s">
        <v>8</v>
      </c>
    </row>
    <row r="10" spans="1:9" ht="16.5" thickTop="1" thickBot="1">
      <c r="A10" s="118" t="s">
        <v>8</v>
      </c>
      <c r="B10" s="118" t="s">
        <v>25</v>
      </c>
      <c r="C10" s="118" t="s">
        <v>8</v>
      </c>
      <c r="D10" s="1271" t="s">
        <v>26</v>
      </c>
      <c r="E10" s="118" t="s">
        <v>8</v>
      </c>
      <c r="F10" s="118" t="s">
        <v>8</v>
      </c>
      <c r="G10" s="118" t="s">
        <v>8</v>
      </c>
      <c r="H10" s="118" t="s">
        <v>8</v>
      </c>
      <c r="I10" s="118" t="s">
        <v>8</v>
      </c>
    </row>
    <row r="11" spans="1:9" ht="16.5" thickTop="1" thickBot="1">
      <c r="A11" s="118" t="s">
        <v>8</v>
      </c>
      <c r="B11" s="118" t="s">
        <v>8</v>
      </c>
      <c r="C11" s="118" t="s">
        <v>8</v>
      </c>
      <c r="D11" s="118" t="s">
        <v>8</v>
      </c>
      <c r="E11" s="118" t="s">
        <v>8</v>
      </c>
      <c r="F11" s="118" t="s">
        <v>8</v>
      </c>
      <c r="G11" s="118" t="s">
        <v>8</v>
      </c>
      <c r="H11" s="118" t="s">
        <v>8</v>
      </c>
      <c r="I11" s="118" t="s">
        <v>8</v>
      </c>
    </row>
    <row r="12" spans="1:9" ht="16.5" thickTop="1" thickBot="1">
      <c r="A12" s="118" t="s">
        <v>8</v>
      </c>
      <c r="B12" s="1272" t="s">
        <v>8</v>
      </c>
      <c r="C12" s="1273" t="s">
        <v>8</v>
      </c>
      <c r="D12" s="1273" t="s">
        <v>8</v>
      </c>
      <c r="E12" s="1273" t="s">
        <v>8</v>
      </c>
      <c r="F12" s="1273" t="s">
        <v>8</v>
      </c>
      <c r="G12" s="1273" t="s">
        <v>8</v>
      </c>
      <c r="H12" s="1274" t="s">
        <v>8</v>
      </c>
      <c r="I12" s="118" t="s">
        <v>8</v>
      </c>
    </row>
    <row r="13" spans="1:9" ht="16.5" thickTop="1" thickBot="1">
      <c r="A13" s="118" t="s">
        <v>8</v>
      </c>
      <c r="B13" s="1275" t="s">
        <v>8</v>
      </c>
      <c r="C13" s="1270" t="s">
        <v>11</v>
      </c>
      <c r="D13" s="1276" t="s">
        <v>28</v>
      </c>
      <c r="E13" s="1285">
        <v>6570525</v>
      </c>
      <c r="F13" s="1276" t="s">
        <v>8</v>
      </c>
      <c r="G13" s="1276" t="s">
        <v>8</v>
      </c>
      <c r="H13" s="1277" t="s">
        <v>8</v>
      </c>
      <c r="I13" s="118" t="s">
        <v>29</v>
      </c>
    </row>
    <row r="14" spans="1:9" ht="16.5" thickTop="1" thickBot="1">
      <c r="A14" s="118" t="s">
        <v>8</v>
      </c>
      <c r="B14" s="118" t="s">
        <v>8</v>
      </c>
      <c r="C14" s="118" t="s">
        <v>8</v>
      </c>
      <c r="D14" s="118" t="s">
        <v>8</v>
      </c>
      <c r="E14" s="118" t="s">
        <v>8</v>
      </c>
      <c r="F14" s="118" t="s">
        <v>8</v>
      </c>
      <c r="G14" s="118" t="s">
        <v>8</v>
      </c>
      <c r="H14" s="118" t="s">
        <v>8</v>
      </c>
      <c r="I14" s="118" t="s">
        <v>8</v>
      </c>
    </row>
    <row r="15" spans="1:9" ht="16.5" thickTop="1" thickBot="1">
      <c r="A15" s="118" t="s">
        <v>8</v>
      </c>
      <c r="B15" s="1271" t="s">
        <v>30</v>
      </c>
      <c r="C15" s="1270" t="s">
        <v>31</v>
      </c>
      <c r="D15" s="1270" t="s">
        <v>32</v>
      </c>
      <c r="E15" s="1270" t="s">
        <v>33</v>
      </c>
      <c r="F15" s="1270" t="s">
        <v>34</v>
      </c>
      <c r="G15" s="1270" t="s">
        <v>35</v>
      </c>
      <c r="H15" s="1270" t="s">
        <v>36</v>
      </c>
      <c r="I15" s="118" t="s">
        <v>8</v>
      </c>
    </row>
    <row r="16" spans="1:9" ht="16.5" thickTop="1" thickBot="1">
      <c r="A16" s="118" t="s">
        <v>8</v>
      </c>
      <c r="B16" s="118" t="s">
        <v>8</v>
      </c>
      <c r="C16" s="118" t="s">
        <v>8</v>
      </c>
      <c r="D16" s="118" t="s">
        <v>8</v>
      </c>
      <c r="E16" s="118" t="s">
        <v>8</v>
      </c>
      <c r="F16" s="118" t="s">
        <v>8</v>
      </c>
      <c r="G16" s="118" t="s">
        <v>8</v>
      </c>
      <c r="H16" s="118" t="s">
        <v>8</v>
      </c>
      <c r="I16" s="118" t="s">
        <v>8</v>
      </c>
    </row>
    <row r="17" spans="1:9" ht="15.75" thickTop="1">
      <c r="A17" s="118" t="s">
        <v>8</v>
      </c>
      <c r="B17" s="1287" t="s">
        <v>8</v>
      </c>
      <c r="C17" s="1287" t="s">
        <v>8</v>
      </c>
      <c r="D17" s="1292" t="s">
        <v>263</v>
      </c>
      <c r="E17" s="1287" t="s">
        <v>8</v>
      </c>
      <c r="F17" s="1287" t="s">
        <v>8</v>
      </c>
      <c r="G17" s="1287" t="s">
        <v>8</v>
      </c>
      <c r="H17" s="1274" t="s">
        <v>8</v>
      </c>
      <c r="I17" s="118" t="s">
        <v>8</v>
      </c>
    </row>
    <row r="18" spans="1:9">
      <c r="A18" s="118" t="s">
        <v>8</v>
      </c>
      <c r="B18" s="1288" t="s">
        <v>8</v>
      </c>
      <c r="C18" s="1290" t="s">
        <v>8</v>
      </c>
      <c r="D18" s="1290" t="s">
        <v>8</v>
      </c>
      <c r="E18" s="1294" t="s">
        <v>8</v>
      </c>
      <c r="F18" s="1290" t="s">
        <v>8</v>
      </c>
      <c r="G18" s="1296" t="s">
        <v>8</v>
      </c>
      <c r="H18" s="1282" t="s">
        <v>8</v>
      </c>
      <c r="I18" s="118" t="s">
        <v>8</v>
      </c>
    </row>
    <row r="19" spans="1:9">
      <c r="A19" s="118" t="s">
        <v>8</v>
      </c>
      <c r="B19" s="1288" t="s">
        <v>8</v>
      </c>
      <c r="C19" s="1290" t="s">
        <v>8</v>
      </c>
      <c r="D19" s="1290" t="s">
        <v>8</v>
      </c>
      <c r="E19" s="1294" t="s">
        <v>8</v>
      </c>
      <c r="F19" s="1290" t="s">
        <v>8</v>
      </c>
      <c r="G19" s="1296" t="s">
        <v>8</v>
      </c>
      <c r="H19" s="1282" t="s">
        <v>8</v>
      </c>
      <c r="I19" s="118" t="s">
        <v>8</v>
      </c>
    </row>
    <row r="20" spans="1:9" ht="15.75" thickBot="1">
      <c r="A20" s="118" t="s">
        <v>8</v>
      </c>
      <c r="B20" s="1289" t="s">
        <v>8</v>
      </c>
      <c r="C20" s="1291" t="s">
        <v>8</v>
      </c>
      <c r="D20" s="1293" t="s">
        <v>51</v>
      </c>
      <c r="E20" s="1295">
        <f>SUM($E$18:$E$19)</f>
        <v>0</v>
      </c>
      <c r="F20" s="1291" t="s">
        <v>8</v>
      </c>
      <c r="G20" s="1297" t="s">
        <v>8</v>
      </c>
      <c r="H20" s="1277" t="s">
        <v>8</v>
      </c>
      <c r="I20" s="118" t="s">
        <v>8</v>
      </c>
    </row>
    <row r="21" spans="1:9" ht="15.75" thickTop="1">
      <c r="A21" s="118" t="s">
        <v>8</v>
      </c>
      <c r="B21" s="1279" t="s">
        <v>8</v>
      </c>
      <c r="C21" s="118" t="s">
        <v>8</v>
      </c>
      <c r="D21" s="118" t="s">
        <v>8</v>
      </c>
      <c r="E21" s="119" t="s">
        <v>8</v>
      </c>
      <c r="F21" s="118" t="s">
        <v>8</v>
      </c>
      <c r="G21" s="1278" t="s">
        <v>8</v>
      </c>
      <c r="H21" s="118" t="s">
        <v>8</v>
      </c>
      <c r="I21" s="118" t="s">
        <v>8</v>
      </c>
    </row>
    <row r="22" spans="1:9" ht="15.75" thickBot="1">
      <c r="A22" s="118" t="s">
        <v>8</v>
      </c>
      <c r="B22" s="1279" t="s">
        <v>8</v>
      </c>
      <c r="C22" s="118" t="s">
        <v>8</v>
      </c>
      <c r="D22" s="118" t="s">
        <v>8</v>
      </c>
      <c r="E22" s="119" t="s">
        <v>8</v>
      </c>
      <c r="F22" s="118" t="s">
        <v>8</v>
      </c>
      <c r="G22" s="1278" t="s">
        <v>8</v>
      </c>
      <c r="H22" s="118" t="s">
        <v>8</v>
      </c>
      <c r="I22" s="118" t="s">
        <v>8</v>
      </c>
    </row>
    <row r="23" spans="1:9" ht="15.75" thickTop="1">
      <c r="A23" s="118" t="s">
        <v>8</v>
      </c>
      <c r="B23" s="1301" t="s">
        <v>8</v>
      </c>
      <c r="C23" s="1287" t="s">
        <v>8</v>
      </c>
      <c r="D23" s="1292" t="s">
        <v>264</v>
      </c>
      <c r="E23" s="1302" t="s">
        <v>8</v>
      </c>
      <c r="F23" s="1287" t="s">
        <v>8</v>
      </c>
      <c r="G23" s="1303" t="s">
        <v>8</v>
      </c>
      <c r="H23" s="1274" t="s">
        <v>8</v>
      </c>
      <c r="I23" s="118" t="s">
        <v>8</v>
      </c>
    </row>
    <row r="24" spans="1:9">
      <c r="A24" s="118" t="s">
        <v>8</v>
      </c>
      <c r="B24" s="1288" t="s">
        <v>8</v>
      </c>
      <c r="C24" s="1290" t="s">
        <v>8</v>
      </c>
      <c r="D24" s="1290" t="s">
        <v>8</v>
      </c>
      <c r="E24" s="1294" t="s">
        <v>8</v>
      </c>
      <c r="F24" s="1290" t="s">
        <v>8</v>
      </c>
      <c r="G24" s="1296" t="s">
        <v>8</v>
      </c>
      <c r="H24" s="1282" t="s">
        <v>8</v>
      </c>
      <c r="I24" s="118" t="s">
        <v>8</v>
      </c>
    </row>
    <row r="25" spans="1:9">
      <c r="A25" s="118" t="s">
        <v>8</v>
      </c>
      <c r="B25" s="1288" t="s">
        <v>8</v>
      </c>
      <c r="C25" s="1290" t="s">
        <v>8</v>
      </c>
      <c r="D25" s="1290" t="s">
        <v>8</v>
      </c>
      <c r="E25" s="1294" t="s">
        <v>8</v>
      </c>
      <c r="F25" s="1290" t="s">
        <v>8</v>
      </c>
      <c r="G25" s="1296" t="s">
        <v>8</v>
      </c>
      <c r="H25" s="1282" t="s">
        <v>8</v>
      </c>
      <c r="I25" s="118" t="s">
        <v>8</v>
      </c>
    </row>
    <row r="26" spans="1:9" ht="15.75" thickBot="1">
      <c r="A26" s="118" t="s">
        <v>8</v>
      </c>
      <c r="B26" s="1289" t="s">
        <v>8</v>
      </c>
      <c r="C26" s="1291" t="s">
        <v>8</v>
      </c>
      <c r="D26" s="1293" t="s">
        <v>51</v>
      </c>
      <c r="E26" s="1295">
        <f>SUM($E$24:$E$25)</f>
        <v>0</v>
      </c>
      <c r="F26" s="1291" t="s">
        <v>8</v>
      </c>
      <c r="G26" s="1297" t="s">
        <v>8</v>
      </c>
      <c r="H26" s="1277" t="s">
        <v>8</v>
      </c>
      <c r="I26" s="118" t="s">
        <v>8</v>
      </c>
    </row>
    <row r="27" spans="1:9" ht="15.75" thickTop="1">
      <c r="A27" s="118" t="s">
        <v>8</v>
      </c>
      <c r="B27" s="1279" t="s">
        <v>8</v>
      </c>
      <c r="C27" s="118" t="s">
        <v>8</v>
      </c>
      <c r="D27" s="118" t="s">
        <v>8</v>
      </c>
      <c r="E27" s="119" t="s">
        <v>8</v>
      </c>
      <c r="F27" s="118" t="s">
        <v>8</v>
      </c>
      <c r="G27" s="1278" t="s">
        <v>8</v>
      </c>
      <c r="H27" s="118" t="s">
        <v>8</v>
      </c>
      <c r="I27" s="118" t="s">
        <v>8</v>
      </c>
    </row>
    <row r="28" spans="1:9" ht="15.75" thickBot="1">
      <c r="A28" s="118" t="s">
        <v>8</v>
      </c>
      <c r="B28" s="1279" t="s">
        <v>8</v>
      </c>
      <c r="C28" s="118" t="s">
        <v>8</v>
      </c>
      <c r="D28" s="118" t="s">
        <v>8</v>
      </c>
      <c r="E28" s="119" t="s">
        <v>8</v>
      </c>
      <c r="F28" s="118" t="s">
        <v>8</v>
      </c>
      <c r="G28" s="1278" t="s">
        <v>8</v>
      </c>
      <c r="H28" s="118" t="s">
        <v>8</v>
      </c>
      <c r="I28" s="118" t="s">
        <v>8</v>
      </c>
    </row>
    <row r="29" spans="1:9" ht="15.75" thickTop="1">
      <c r="A29" s="118" t="s">
        <v>8</v>
      </c>
      <c r="B29" s="1301" t="s">
        <v>8</v>
      </c>
      <c r="C29" s="1287" t="s">
        <v>8</v>
      </c>
      <c r="D29" s="1292" t="s">
        <v>265</v>
      </c>
      <c r="E29" s="1302" t="s">
        <v>8</v>
      </c>
      <c r="F29" s="1287" t="s">
        <v>8</v>
      </c>
      <c r="G29" s="1303" t="s">
        <v>8</v>
      </c>
      <c r="H29" s="1274" t="s">
        <v>8</v>
      </c>
      <c r="I29" s="118" t="s">
        <v>8</v>
      </c>
    </row>
    <row r="30" spans="1:9">
      <c r="A30" s="118" t="s">
        <v>8</v>
      </c>
      <c r="B30" s="1288" t="s">
        <v>8</v>
      </c>
      <c r="C30" s="1290" t="s">
        <v>8</v>
      </c>
      <c r="D30" s="1290" t="s">
        <v>8</v>
      </c>
      <c r="E30" s="1294" t="s">
        <v>8</v>
      </c>
      <c r="F30" s="1290" t="s">
        <v>8</v>
      </c>
      <c r="G30" s="1296" t="s">
        <v>8</v>
      </c>
      <c r="H30" s="1282" t="s">
        <v>8</v>
      </c>
      <c r="I30" s="118" t="s">
        <v>8</v>
      </c>
    </row>
    <row r="31" spans="1:9">
      <c r="A31" s="118" t="s">
        <v>8</v>
      </c>
      <c r="B31" s="1288" t="s">
        <v>8</v>
      </c>
      <c r="C31" s="1290" t="s">
        <v>8</v>
      </c>
      <c r="D31" s="1290" t="s">
        <v>8</v>
      </c>
      <c r="E31" s="1294" t="s">
        <v>8</v>
      </c>
      <c r="F31" s="1290" t="s">
        <v>8</v>
      </c>
      <c r="G31" s="1296" t="s">
        <v>8</v>
      </c>
      <c r="H31" s="1282" t="s">
        <v>8</v>
      </c>
      <c r="I31" s="118" t="s">
        <v>8</v>
      </c>
    </row>
    <row r="32" spans="1:9" ht="15.75" thickBot="1">
      <c r="A32" s="118" t="s">
        <v>8</v>
      </c>
      <c r="B32" s="1289" t="s">
        <v>8</v>
      </c>
      <c r="C32" s="1291" t="s">
        <v>8</v>
      </c>
      <c r="D32" s="1293" t="s">
        <v>51</v>
      </c>
      <c r="E32" s="1295">
        <f>SUM($E$30:$E$31)</f>
        <v>0</v>
      </c>
      <c r="F32" s="1291" t="s">
        <v>8</v>
      </c>
      <c r="G32" s="1297" t="s">
        <v>8</v>
      </c>
      <c r="H32" s="1277" t="s">
        <v>8</v>
      </c>
      <c r="I32" s="118" t="s">
        <v>8</v>
      </c>
    </row>
    <row r="33" spans="1:9" ht="15.75" thickTop="1">
      <c r="A33" s="118" t="s">
        <v>8</v>
      </c>
      <c r="B33" s="1279" t="s">
        <v>8</v>
      </c>
      <c r="C33" s="118" t="s">
        <v>8</v>
      </c>
      <c r="D33" s="118" t="s">
        <v>8</v>
      </c>
      <c r="E33" s="119" t="s">
        <v>8</v>
      </c>
      <c r="F33" s="118" t="s">
        <v>8</v>
      </c>
      <c r="G33" s="1278" t="s">
        <v>8</v>
      </c>
      <c r="H33" s="118" t="s">
        <v>8</v>
      </c>
      <c r="I33" s="118" t="s">
        <v>8</v>
      </c>
    </row>
    <row r="34" spans="1:9" ht="15.75" thickBot="1">
      <c r="A34" s="118" t="s">
        <v>8</v>
      </c>
      <c r="B34" s="1279" t="s">
        <v>8</v>
      </c>
      <c r="C34" s="118" t="s">
        <v>8</v>
      </c>
      <c r="D34" s="118" t="s">
        <v>8</v>
      </c>
      <c r="E34" s="119" t="s">
        <v>8</v>
      </c>
      <c r="F34" s="118" t="s">
        <v>8</v>
      </c>
      <c r="G34" s="1278" t="s">
        <v>8</v>
      </c>
      <c r="H34" s="118" t="s">
        <v>8</v>
      </c>
      <c r="I34" s="118" t="s">
        <v>8</v>
      </c>
    </row>
    <row r="35" spans="1:9" ht="15.75" thickTop="1">
      <c r="A35" s="118" t="s">
        <v>8</v>
      </c>
      <c r="B35" s="1301" t="s">
        <v>8</v>
      </c>
      <c r="C35" s="1287" t="s">
        <v>8</v>
      </c>
      <c r="D35" s="1292" t="s">
        <v>266</v>
      </c>
      <c r="E35" s="1302" t="s">
        <v>8</v>
      </c>
      <c r="F35" s="1287" t="s">
        <v>8</v>
      </c>
      <c r="G35" s="1303" t="s">
        <v>8</v>
      </c>
      <c r="H35" s="1274" t="s">
        <v>8</v>
      </c>
      <c r="I35" s="118" t="s">
        <v>8</v>
      </c>
    </row>
    <row r="36" spans="1:9">
      <c r="A36" s="118" t="s">
        <v>8</v>
      </c>
      <c r="B36" s="1288" t="s">
        <v>8</v>
      </c>
      <c r="C36" s="1290" t="s">
        <v>8</v>
      </c>
      <c r="D36" s="1290" t="s">
        <v>8</v>
      </c>
      <c r="E36" s="1294" t="s">
        <v>8</v>
      </c>
      <c r="F36" s="1290" t="s">
        <v>8</v>
      </c>
      <c r="G36" s="1296" t="s">
        <v>8</v>
      </c>
      <c r="H36" s="1282" t="s">
        <v>8</v>
      </c>
      <c r="I36" s="118" t="s">
        <v>8</v>
      </c>
    </row>
    <row r="37" spans="1:9">
      <c r="A37" s="118" t="s">
        <v>8</v>
      </c>
      <c r="B37" s="1288" t="s">
        <v>8</v>
      </c>
      <c r="C37" s="1290" t="s">
        <v>8</v>
      </c>
      <c r="D37" s="1290" t="s">
        <v>8</v>
      </c>
      <c r="E37" s="1294" t="s">
        <v>8</v>
      </c>
      <c r="F37" s="1290" t="s">
        <v>8</v>
      </c>
      <c r="G37" s="1296" t="s">
        <v>8</v>
      </c>
      <c r="H37" s="1282" t="s">
        <v>8</v>
      </c>
      <c r="I37" s="118" t="s">
        <v>8</v>
      </c>
    </row>
    <row r="38" spans="1:9" ht="15.75" thickBot="1">
      <c r="A38" s="118" t="s">
        <v>8</v>
      </c>
      <c r="B38" s="1289" t="s">
        <v>8</v>
      </c>
      <c r="C38" s="1291" t="s">
        <v>8</v>
      </c>
      <c r="D38" s="1293" t="s">
        <v>51</v>
      </c>
      <c r="E38" s="1295">
        <f>SUM($E$36:$E$37)</f>
        <v>0</v>
      </c>
      <c r="F38" s="1291" t="s">
        <v>8</v>
      </c>
      <c r="G38" s="1297" t="s">
        <v>8</v>
      </c>
      <c r="H38" s="1277" t="s">
        <v>8</v>
      </c>
      <c r="I38" s="118" t="s">
        <v>8</v>
      </c>
    </row>
    <row r="39" spans="1:9" ht="16.5" thickTop="1" thickBot="1">
      <c r="A39" s="118" t="s">
        <v>8</v>
      </c>
      <c r="B39" s="1279" t="s">
        <v>8</v>
      </c>
      <c r="C39" s="118" t="s">
        <v>8</v>
      </c>
      <c r="D39" s="118" t="s">
        <v>8</v>
      </c>
      <c r="E39" s="119" t="s">
        <v>8</v>
      </c>
      <c r="F39" s="118" t="s">
        <v>8</v>
      </c>
      <c r="G39" s="1278" t="s">
        <v>8</v>
      </c>
      <c r="H39" s="118" t="s">
        <v>8</v>
      </c>
      <c r="I39" s="118" t="s">
        <v>8</v>
      </c>
    </row>
    <row r="40" spans="1:9" ht="15.75" thickTop="1">
      <c r="A40" s="118" t="s">
        <v>8</v>
      </c>
      <c r="B40" s="1298" t="s">
        <v>8</v>
      </c>
      <c r="C40" s="1273" t="s">
        <v>8</v>
      </c>
      <c r="D40" s="1273" t="s">
        <v>8</v>
      </c>
      <c r="E40" s="1299" t="s">
        <v>8</v>
      </c>
      <c r="F40" s="1273" t="s">
        <v>8</v>
      </c>
      <c r="G40" s="1300" t="s">
        <v>8</v>
      </c>
      <c r="H40" s="1274" t="s">
        <v>8</v>
      </c>
      <c r="I40" s="118" t="s">
        <v>8</v>
      </c>
    </row>
    <row r="41" spans="1:9">
      <c r="A41" s="118" t="s">
        <v>8</v>
      </c>
      <c r="B41" s="1281" t="s">
        <v>8</v>
      </c>
      <c r="C41" s="2102" t="s">
        <v>8</v>
      </c>
      <c r="D41" s="2104" t="s">
        <v>114</v>
      </c>
      <c r="E41" s="2103">
        <f>ABS(E13+$E$20-$E$38+$E$26-$E$32)</f>
        <v>6570525</v>
      </c>
      <c r="F41" s="2102" t="s">
        <v>8</v>
      </c>
      <c r="G41" s="2106" t="s">
        <v>8</v>
      </c>
      <c r="H41" s="1282" t="s">
        <v>8</v>
      </c>
      <c r="I41" s="118" t="s">
        <v>8</v>
      </c>
    </row>
    <row r="42" spans="1:9">
      <c r="A42" s="118" t="s">
        <v>8</v>
      </c>
      <c r="B42" s="1281" t="s">
        <v>8</v>
      </c>
      <c r="C42" s="2102" t="s">
        <v>8</v>
      </c>
      <c r="D42" s="2104" t="s">
        <v>115</v>
      </c>
      <c r="E42" s="2103">
        <v>6570525</v>
      </c>
      <c r="F42" s="2102" t="s">
        <v>8</v>
      </c>
      <c r="G42" s="2106" t="s">
        <v>8</v>
      </c>
      <c r="H42" s="1282" t="s">
        <v>8</v>
      </c>
      <c r="I42" s="118" t="s">
        <v>29</v>
      </c>
    </row>
    <row r="43" spans="1:9" ht="15.75" thickBot="1">
      <c r="A43" s="118" t="s">
        <v>8</v>
      </c>
      <c r="B43" s="1283" t="s">
        <v>8</v>
      </c>
      <c r="C43" s="1276" t="s">
        <v>8</v>
      </c>
      <c r="D43" s="1284" t="s">
        <v>117</v>
      </c>
      <c r="E43" s="1285">
        <f>$E$42-$E$41</f>
        <v>0</v>
      </c>
      <c r="F43" s="1276" t="s">
        <v>8</v>
      </c>
      <c r="G43" s="1286" t="s">
        <v>8</v>
      </c>
      <c r="H43" s="1277" t="s">
        <v>8</v>
      </c>
      <c r="I43" s="118" t="s">
        <v>8</v>
      </c>
    </row>
    <row r="44" spans="1:9" ht="16.5" thickTop="1" thickBot="1">
      <c r="A44" s="118" t="s">
        <v>8</v>
      </c>
      <c r="B44" s="1279" t="s">
        <v>8</v>
      </c>
      <c r="C44" s="118" t="s">
        <v>8</v>
      </c>
      <c r="D44" s="118" t="s">
        <v>8</v>
      </c>
      <c r="E44" s="119" t="s">
        <v>8</v>
      </c>
      <c r="F44" s="118" t="s">
        <v>8</v>
      </c>
      <c r="G44" s="1278" t="s">
        <v>8</v>
      </c>
      <c r="H44" s="118" t="s">
        <v>8</v>
      </c>
      <c r="I44" s="118" t="s">
        <v>8</v>
      </c>
    </row>
    <row r="45" spans="1:9" ht="15.75" thickTop="1">
      <c r="A45" s="118" t="s">
        <v>8</v>
      </c>
      <c r="B45" s="1298" t="s">
        <v>8</v>
      </c>
      <c r="C45" s="1273" t="s">
        <v>8</v>
      </c>
      <c r="D45" s="1280" t="s">
        <v>118</v>
      </c>
      <c r="E45" s="1304" t="s">
        <v>119</v>
      </c>
      <c r="F45" s="1280" t="s">
        <v>120</v>
      </c>
      <c r="G45" s="1300">
        <v>45981</v>
      </c>
      <c r="H45" s="1274" t="s">
        <v>8</v>
      </c>
      <c r="I45" s="118" t="s">
        <v>8</v>
      </c>
    </row>
    <row r="46" spans="1:9">
      <c r="A46" s="118" t="s">
        <v>8</v>
      </c>
      <c r="B46" s="1281" t="s">
        <v>8</v>
      </c>
      <c r="C46" s="2102" t="s">
        <v>8</v>
      </c>
      <c r="D46" s="2102" t="s">
        <v>8</v>
      </c>
      <c r="E46" s="2105" t="s">
        <v>8</v>
      </c>
      <c r="F46" s="2102" t="s">
        <v>8</v>
      </c>
      <c r="G46" s="2106" t="s">
        <v>8</v>
      </c>
      <c r="H46" s="1282" t="s">
        <v>8</v>
      </c>
      <c r="I46" s="118" t="s">
        <v>8</v>
      </c>
    </row>
    <row r="47" spans="1:9">
      <c r="A47" s="118" t="s">
        <v>8</v>
      </c>
      <c r="B47" s="1281" t="s">
        <v>8</v>
      </c>
      <c r="C47" s="2102" t="s">
        <v>8</v>
      </c>
      <c r="D47" s="2102" t="s">
        <v>8</v>
      </c>
      <c r="E47" s="2105" t="s">
        <v>8</v>
      </c>
      <c r="F47" s="2102" t="s">
        <v>8</v>
      </c>
      <c r="G47" s="2106" t="s">
        <v>8</v>
      </c>
      <c r="H47" s="1282" t="s">
        <v>8</v>
      </c>
      <c r="I47" s="118" t="s">
        <v>8</v>
      </c>
    </row>
    <row r="48" spans="1:9">
      <c r="A48" s="118" t="s">
        <v>8</v>
      </c>
      <c r="B48" s="1281" t="s">
        <v>8</v>
      </c>
      <c r="C48" s="2102" t="s">
        <v>8</v>
      </c>
      <c r="D48" s="2104" t="s">
        <v>121</v>
      </c>
      <c r="E48" s="2103" t="s">
        <v>8</v>
      </c>
      <c r="F48" s="2104" t="s">
        <v>120</v>
      </c>
      <c r="G48" s="2106" t="s">
        <v>8</v>
      </c>
      <c r="H48" s="1282" t="s">
        <v>8</v>
      </c>
      <c r="I48" s="118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6.5703125" bestFit="1" customWidth="1"/>
    <col min="5" max="5" width="24.5703125" bestFit="1" customWidth="1"/>
    <col min="6" max="6" width="14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3" t="s">
        <v>6</v>
      </c>
      <c r="H1" s="123" t="s">
        <v>7</v>
      </c>
      <c r="I1" s="123" t="s">
        <v>196</v>
      </c>
    </row>
    <row r="2" spans="1:9">
      <c r="A2" s="121" t="s">
        <v>8</v>
      </c>
      <c r="B2" s="121" t="s">
        <v>8</v>
      </c>
      <c r="C2" s="121" t="s">
        <v>8</v>
      </c>
      <c r="D2" s="121" t="s">
        <v>8</v>
      </c>
      <c r="E2" s="121" t="s">
        <v>8</v>
      </c>
      <c r="F2" s="121" t="s">
        <v>8</v>
      </c>
      <c r="G2" s="121" t="s">
        <v>8</v>
      </c>
      <c r="H2" s="121" t="s">
        <v>8</v>
      </c>
      <c r="I2" s="121" t="s">
        <v>8</v>
      </c>
    </row>
    <row r="3" spans="1:9" ht="15.75" thickBot="1">
      <c r="A3" s="121" t="s">
        <v>8</v>
      </c>
      <c r="B3" s="121" t="s">
        <v>8</v>
      </c>
      <c r="C3" s="121" t="s">
        <v>8</v>
      </c>
      <c r="D3" s="121" t="s">
        <v>8</v>
      </c>
      <c r="E3" s="121" t="s">
        <v>8</v>
      </c>
      <c r="F3" s="121" t="s">
        <v>8</v>
      </c>
      <c r="G3" s="121" t="s">
        <v>8</v>
      </c>
      <c r="H3" s="121" t="s">
        <v>8</v>
      </c>
      <c r="I3" s="121" t="s">
        <v>8</v>
      </c>
    </row>
    <row r="4" spans="1:9" ht="16.5" thickTop="1" thickBot="1">
      <c r="A4" s="121" t="s">
        <v>8</v>
      </c>
      <c r="B4" s="121" t="s">
        <v>14</v>
      </c>
      <c r="C4" s="121" t="s">
        <v>8</v>
      </c>
      <c r="D4" s="1306" t="s">
        <v>15</v>
      </c>
      <c r="E4" s="121" t="s">
        <v>16</v>
      </c>
      <c r="F4" s="1306" t="s">
        <v>267</v>
      </c>
      <c r="G4" s="121" t="s">
        <v>8</v>
      </c>
      <c r="H4" s="121" t="s">
        <v>8</v>
      </c>
      <c r="I4" s="121" t="s">
        <v>8</v>
      </c>
    </row>
    <row r="5" spans="1:9" ht="16.5" thickTop="1" thickBot="1">
      <c r="A5" s="121" t="s">
        <v>8</v>
      </c>
      <c r="B5" s="121" t="s">
        <v>8</v>
      </c>
      <c r="C5" s="121" t="s">
        <v>8</v>
      </c>
      <c r="D5" s="121" t="s">
        <v>8</v>
      </c>
      <c r="E5" s="121" t="s">
        <v>8</v>
      </c>
      <c r="F5" s="121" t="s">
        <v>8</v>
      </c>
      <c r="G5" s="121" t="s">
        <v>8</v>
      </c>
      <c r="H5" s="121" t="s">
        <v>8</v>
      </c>
      <c r="I5" s="121" t="s">
        <v>8</v>
      </c>
    </row>
    <row r="6" spans="1:9" ht="16.5" thickTop="1" thickBot="1">
      <c r="A6" s="121" t="s">
        <v>8</v>
      </c>
      <c r="B6" s="121" t="s">
        <v>18</v>
      </c>
      <c r="C6" s="121" t="s">
        <v>8</v>
      </c>
      <c r="D6" s="1306" t="s">
        <v>19</v>
      </c>
      <c r="E6" s="121" t="s">
        <v>20</v>
      </c>
      <c r="F6" s="1306" t="s">
        <v>268</v>
      </c>
      <c r="G6" s="121" t="s">
        <v>8</v>
      </c>
      <c r="H6" s="121" t="s">
        <v>8</v>
      </c>
      <c r="I6" s="121" t="s">
        <v>8</v>
      </c>
    </row>
    <row r="7" spans="1:9" ht="16.5" thickTop="1" thickBot="1">
      <c r="A7" s="121" t="s">
        <v>8</v>
      </c>
      <c r="B7" s="121" t="s">
        <v>8</v>
      </c>
      <c r="C7" s="121" t="s">
        <v>8</v>
      </c>
      <c r="D7" s="121" t="s">
        <v>8</v>
      </c>
      <c r="E7" s="121" t="s">
        <v>8</v>
      </c>
      <c r="F7" s="121" t="s">
        <v>8</v>
      </c>
      <c r="G7" s="121" t="s">
        <v>8</v>
      </c>
      <c r="H7" s="121" t="s">
        <v>8</v>
      </c>
      <c r="I7" s="121" t="s">
        <v>8</v>
      </c>
    </row>
    <row r="8" spans="1:9" ht="16.5" thickTop="1" thickBot="1">
      <c r="A8" s="121" t="s">
        <v>8</v>
      </c>
      <c r="B8" s="121" t="s">
        <v>22</v>
      </c>
      <c r="C8" s="121" t="s">
        <v>8</v>
      </c>
      <c r="D8" s="1306" t="s">
        <v>11</v>
      </c>
      <c r="E8" s="121" t="s">
        <v>23</v>
      </c>
      <c r="F8" s="1306" t="s">
        <v>269</v>
      </c>
      <c r="G8" s="121" t="s">
        <v>8</v>
      </c>
      <c r="H8" s="121" t="s">
        <v>8</v>
      </c>
      <c r="I8" s="121" t="s">
        <v>8</v>
      </c>
    </row>
    <row r="9" spans="1:9" ht="16.5" thickTop="1" thickBot="1">
      <c r="A9" s="121" t="s">
        <v>8</v>
      </c>
      <c r="B9" s="121" t="s">
        <v>8</v>
      </c>
      <c r="C9" s="121" t="s">
        <v>8</v>
      </c>
      <c r="D9" s="121" t="s">
        <v>8</v>
      </c>
      <c r="E9" s="121" t="s">
        <v>8</v>
      </c>
      <c r="F9" s="121" t="s">
        <v>8</v>
      </c>
      <c r="G9" s="121" t="s">
        <v>8</v>
      </c>
      <c r="H9" s="121" t="s">
        <v>8</v>
      </c>
      <c r="I9" s="121" t="s">
        <v>8</v>
      </c>
    </row>
    <row r="10" spans="1:9" ht="16.5" thickTop="1" thickBot="1">
      <c r="A10" s="121" t="s">
        <v>8</v>
      </c>
      <c r="B10" s="121" t="s">
        <v>25</v>
      </c>
      <c r="C10" s="121" t="s">
        <v>8</v>
      </c>
      <c r="D10" s="1306" t="s">
        <v>26</v>
      </c>
      <c r="E10" s="121" t="s">
        <v>8</v>
      </c>
      <c r="F10" s="121" t="s">
        <v>8</v>
      </c>
      <c r="G10" s="121" t="s">
        <v>8</v>
      </c>
      <c r="H10" s="121" t="s">
        <v>8</v>
      </c>
      <c r="I10" s="121" t="s">
        <v>8</v>
      </c>
    </row>
    <row r="11" spans="1:9" ht="16.5" thickTop="1" thickBot="1">
      <c r="A11" s="121" t="s">
        <v>8</v>
      </c>
      <c r="B11" s="121" t="s">
        <v>8</v>
      </c>
      <c r="C11" s="121" t="s">
        <v>8</v>
      </c>
      <c r="D11" s="121" t="s">
        <v>8</v>
      </c>
      <c r="E11" s="121" t="s">
        <v>8</v>
      </c>
      <c r="F11" s="121" t="s">
        <v>8</v>
      </c>
      <c r="G11" s="121" t="s">
        <v>8</v>
      </c>
      <c r="H11" s="121" t="s">
        <v>8</v>
      </c>
      <c r="I11" s="121" t="s">
        <v>8</v>
      </c>
    </row>
    <row r="12" spans="1:9" ht="16.5" thickTop="1" thickBot="1">
      <c r="A12" s="121" t="s">
        <v>8</v>
      </c>
      <c r="B12" s="1307" t="s">
        <v>8</v>
      </c>
      <c r="C12" s="1308" t="s">
        <v>8</v>
      </c>
      <c r="D12" s="1308" t="s">
        <v>8</v>
      </c>
      <c r="E12" s="1308" t="s">
        <v>8</v>
      </c>
      <c r="F12" s="1308" t="s">
        <v>8</v>
      </c>
      <c r="G12" s="1308" t="s">
        <v>8</v>
      </c>
      <c r="H12" s="1309" t="s">
        <v>8</v>
      </c>
      <c r="I12" s="121" t="s">
        <v>8</v>
      </c>
    </row>
    <row r="13" spans="1:9" ht="16.5" thickTop="1" thickBot="1">
      <c r="A13" s="121" t="s">
        <v>8</v>
      </c>
      <c r="B13" s="1310" t="s">
        <v>8</v>
      </c>
      <c r="C13" s="1305" t="s">
        <v>11</v>
      </c>
      <c r="D13" s="1311" t="s">
        <v>28</v>
      </c>
      <c r="E13" s="1320">
        <v>2623086.86</v>
      </c>
      <c r="F13" s="1311" t="s">
        <v>8</v>
      </c>
      <c r="G13" s="1311" t="s">
        <v>8</v>
      </c>
      <c r="H13" s="1312" t="s">
        <v>8</v>
      </c>
      <c r="I13" s="121" t="s">
        <v>29</v>
      </c>
    </row>
    <row r="14" spans="1:9" ht="16.5" thickTop="1" thickBot="1">
      <c r="A14" s="121" t="s">
        <v>8</v>
      </c>
      <c r="B14" s="121" t="s">
        <v>8</v>
      </c>
      <c r="C14" s="121" t="s">
        <v>8</v>
      </c>
      <c r="D14" s="121" t="s">
        <v>8</v>
      </c>
      <c r="E14" s="121" t="s">
        <v>8</v>
      </c>
      <c r="F14" s="121" t="s">
        <v>8</v>
      </c>
      <c r="G14" s="121" t="s">
        <v>8</v>
      </c>
      <c r="H14" s="121" t="s">
        <v>8</v>
      </c>
      <c r="I14" s="121" t="s">
        <v>8</v>
      </c>
    </row>
    <row r="15" spans="1:9" ht="16.5" thickTop="1" thickBot="1">
      <c r="A15" s="121" t="s">
        <v>8</v>
      </c>
      <c r="B15" s="1306" t="s">
        <v>30</v>
      </c>
      <c r="C15" s="1305" t="s">
        <v>31</v>
      </c>
      <c r="D15" s="1305" t="s">
        <v>32</v>
      </c>
      <c r="E15" s="1305" t="s">
        <v>33</v>
      </c>
      <c r="F15" s="1305" t="s">
        <v>34</v>
      </c>
      <c r="G15" s="1305" t="s">
        <v>35</v>
      </c>
      <c r="H15" s="1305" t="s">
        <v>36</v>
      </c>
      <c r="I15" s="121" t="s">
        <v>8</v>
      </c>
    </row>
    <row r="16" spans="1:9" ht="16.5" thickTop="1" thickBot="1">
      <c r="A16" s="121" t="s">
        <v>8</v>
      </c>
      <c r="B16" s="121" t="s">
        <v>8</v>
      </c>
      <c r="C16" s="121" t="s">
        <v>8</v>
      </c>
      <c r="D16" s="121" t="s">
        <v>8</v>
      </c>
      <c r="E16" s="121" t="s">
        <v>8</v>
      </c>
      <c r="F16" s="121" t="s">
        <v>8</v>
      </c>
      <c r="G16" s="121" t="s">
        <v>8</v>
      </c>
      <c r="H16" s="121" t="s">
        <v>8</v>
      </c>
      <c r="I16" s="121" t="s">
        <v>8</v>
      </c>
    </row>
    <row r="17" spans="1:9" ht="15.75" thickTop="1">
      <c r="A17" s="121" t="s">
        <v>8</v>
      </c>
      <c r="B17" s="1322" t="s">
        <v>8</v>
      </c>
      <c r="C17" s="1322" t="s">
        <v>8</v>
      </c>
      <c r="D17" s="1327" t="s">
        <v>270</v>
      </c>
      <c r="E17" s="1322" t="s">
        <v>8</v>
      </c>
      <c r="F17" s="1322" t="s">
        <v>8</v>
      </c>
      <c r="G17" s="1322" t="s">
        <v>8</v>
      </c>
      <c r="H17" s="1309" t="s">
        <v>8</v>
      </c>
      <c r="I17" s="121" t="s">
        <v>8</v>
      </c>
    </row>
    <row r="18" spans="1:9">
      <c r="A18" s="121" t="s">
        <v>8</v>
      </c>
      <c r="B18" s="1323" t="s">
        <v>8</v>
      </c>
      <c r="C18" s="1325" t="s">
        <v>8</v>
      </c>
      <c r="D18" s="1325" t="s">
        <v>8</v>
      </c>
      <c r="E18" s="1329" t="s">
        <v>8</v>
      </c>
      <c r="F18" s="1325" t="s">
        <v>8</v>
      </c>
      <c r="G18" s="1331" t="s">
        <v>8</v>
      </c>
      <c r="H18" s="1317" t="s">
        <v>8</v>
      </c>
      <c r="I18" s="121" t="s">
        <v>8</v>
      </c>
    </row>
    <row r="19" spans="1:9">
      <c r="A19" s="121" t="s">
        <v>8</v>
      </c>
      <c r="B19" s="1323" t="s">
        <v>8</v>
      </c>
      <c r="C19" s="1325" t="s">
        <v>8</v>
      </c>
      <c r="D19" s="1325" t="s">
        <v>8</v>
      </c>
      <c r="E19" s="1329" t="s">
        <v>8</v>
      </c>
      <c r="F19" s="1325" t="s">
        <v>8</v>
      </c>
      <c r="G19" s="1331" t="s">
        <v>8</v>
      </c>
      <c r="H19" s="1317" t="s">
        <v>8</v>
      </c>
      <c r="I19" s="121" t="s">
        <v>8</v>
      </c>
    </row>
    <row r="20" spans="1:9" ht="15.75" thickBot="1">
      <c r="A20" s="121" t="s">
        <v>8</v>
      </c>
      <c r="B20" s="1324" t="s">
        <v>8</v>
      </c>
      <c r="C20" s="1326" t="s">
        <v>8</v>
      </c>
      <c r="D20" s="1328" t="s">
        <v>51</v>
      </c>
      <c r="E20" s="1330">
        <f>SUM($E$18:$E$19)</f>
        <v>0</v>
      </c>
      <c r="F20" s="1326" t="s">
        <v>8</v>
      </c>
      <c r="G20" s="1332" t="s">
        <v>8</v>
      </c>
      <c r="H20" s="1312" t="s">
        <v>8</v>
      </c>
      <c r="I20" s="121" t="s">
        <v>8</v>
      </c>
    </row>
    <row r="21" spans="1:9" ht="15.75" thickTop="1">
      <c r="A21" s="121" t="s">
        <v>8</v>
      </c>
      <c r="B21" s="1314" t="s">
        <v>8</v>
      </c>
      <c r="C21" s="121" t="s">
        <v>8</v>
      </c>
      <c r="D21" s="121" t="s">
        <v>8</v>
      </c>
      <c r="E21" s="122" t="s">
        <v>8</v>
      </c>
      <c r="F21" s="121" t="s">
        <v>8</v>
      </c>
      <c r="G21" s="1313" t="s">
        <v>8</v>
      </c>
      <c r="H21" s="121" t="s">
        <v>8</v>
      </c>
      <c r="I21" s="121" t="s">
        <v>8</v>
      </c>
    </row>
    <row r="22" spans="1:9" ht="15.75" thickBot="1">
      <c r="A22" s="121" t="s">
        <v>8</v>
      </c>
      <c r="B22" s="1314" t="s">
        <v>8</v>
      </c>
      <c r="C22" s="121" t="s">
        <v>8</v>
      </c>
      <c r="D22" s="121" t="s">
        <v>8</v>
      </c>
      <c r="E22" s="122" t="s">
        <v>8</v>
      </c>
      <c r="F22" s="121" t="s">
        <v>8</v>
      </c>
      <c r="G22" s="1313" t="s">
        <v>8</v>
      </c>
      <c r="H22" s="121" t="s">
        <v>8</v>
      </c>
      <c r="I22" s="121" t="s">
        <v>8</v>
      </c>
    </row>
    <row r="23" spans="1:9" ht="15.75" thickTop="1">
      <c r="A23" s="121" t="s">
        <v>8</v>
      </c>
      <c r="B23" s="1336" t="s">
        <v>8</v>
      </c>
      <c r="C23" s="1322" t="s">
        <v>8</v>
      </c>
      <c r="D23" s="1327" t="s">
        <v>271</v>
      </c>
      <c r="E23" s="1337" t="s">
        <v>8</v>
      </c>
      <c r="F23" s="1322" t="s">
        <v>8</v>
      </c>
      <c r="G23" s="1338" t="s">
        <v>8</v>
      </c>
      <c r="H23" s="1309" t="s">
        <v>8</v>
      </c>
      <c r="I23" s="121" t="s">
        <v>8</v>
      </c>
    </row>
    <row r="24" spans="1:9">
      <c r="A24" s="121" t="s">
        <v>8</v>
      </c>
      <c r="B24" s="1323" t="s">
        <v>8</v>
      </c>
      <c r="C24" s="1325" t="s">
        <v>8</v>
      </c>
      <c r="D24" s="1325" t="s">
        <v>8</v>
      </c>
      <c r="E24" s="1329" t="s">
        <v>8</v>
      </c>
      <c r="F24" s="1325" t="s">
        <v>8</v>
      </c>
      <c r="G24" s="1331" t="s">
        <v>8</v>
      </c>
      <c r="H24" s="1317" t="s">
        <v>8</v>
      </c>
      <c r="I24" s="121" t="s">
        <v>8</v>
      </c>
    </row>
    <row r="25" spans="1:9">
      <c r="A25" s="121" t="s">
        <v>8</v>
      </c>
      <c r="B25" s="1323" t="s">
        <v>8</v>
      </c>
      <c r="C25" s="1325" t="s">
        <v>8</v>
      </c>
      <c r="D25" s="1325" t="s">
        <v>8</v>
      </c>
      <c r="E25" s="1329" t="s">
        <v>8</v>
      </c>
      <c r="F25" s="1325" t="s">
        <v>8</v>
      </c>
      <c r="G25" s="1331" t="s">
        <v>8</v>
      </c>
      <c r="H25" s="1317" t="s">
        <v>8</v>
      </c>
      <c r="I25" s="121" t="s">
        <v>8</v>
      </c>
    </row>
    <row r="26" spans="1:9" ht="15.75" thickBot="1">
      <c r="A26" s="121" t="s">
        <v>8</v>
      </c>
      <c r="B26" s="1324" t="s">
        <v>8</v>
      </c>
      <c r="C26" s="1326" t="s">
        <v>8</v>
      </c>
      <c r="D26" s="1328" t="s">
        <v>51</v>
      </c>
      <c r="E26" s="1330">
        <f>SUM($E$24:$E$25)</f>
        <v>0</v>
      </c>
      <c r="F26" s="1326" t="s">
        <v>8</v>
      </c>
      <c r="G26" s="1332" t="s">
        <v>8</v>
      </c>
      <c r="H26" s="1312" t="s">
        <v>8</v>
      </c>
      <c r="I26" s="121" t="s">
        <v>8</v>
      </c>
    </row>
    <row r="27" spans="1:9" ht="15.75" thickTop="1">
      <c r="A27" s="121" t="s">
        <v>8</v>
      </c>
      <c r="B27" s="1314" t="s">
        <v>8</v>
      </c>
      <c r="C27" s="121" t="s">
        <v>8</v>
      </c>
      <c r="D27" s="121" t="s">
        <v>8</v>
      </c>
      <c r="E27" s="122" t="s">
        <v>8</v>
      </c>
      <c r="F27" s="121" t="s">
        <v>8</v>
      </c>
      <c r="G27" s="1313" t="s">
        <v>8</v>
      </c>
      <c r="H27" s="121" t="s">
        <v>8</v>
      </c>
      <c r="I27" s="121" t="s">
        <v>8</v>
      </c>
    </row>
    <row r="28" spans="1:9" ht="15.75" thickBot="1">
      <c r="A28" s="121" t="s">
        <v>8</v>
      </c>
      <c r="B28" s="1314" t="s">
        <v>8</v>
      </c>
      <c r="C28" s="121" t="s">
        <v>8</v>
      </c>
      <c r="D28" s="121" t="s">
        <v>8</v>
      </c>
      <c r="E28" s="122" t="s">
        <v>8</v>
      </c>
      <c r="F28" s="121" t="s">
        <v>8</v>
      </c>
      <c r="G28" s="1313" t="s">
        <v>8</v>
      </c>
      <c r="H28" s="121" t="s">
        <v>8</v>
      </c>
      <c r="I28" s="121" t="s">
        <v>8</v>
      </c>
    </row>
    <row r="29" spans="1:9" ht="15.75" thickTop="1">
      <c r="A29" s="121" t="s">
        <v>8</v>
      </c>
      <c r="B29" s="1336" t="s">
        <v>8</v>
      </c>
      <c r="C29" s="1322" t="s">
        <v>8</v>
      </c>
      <c r="D29" s="1327" t="s">
        <v>272</v>
      </c>
      <c r="E29" s="1337" t="s">
        <v>8</v>
      </c>
      <c r="F29" s="1322" t="s">
        <v>8</v>
      </c>
      <c r="G29" s="1338" t="s">
        <v>8</v>
      </c>
      <c r="H29" s="1309" t="s">
        <v>8</v>
      </c>
      <c r="I29" s="121" t="s">
        <v>8</v>
      </c>
    </row>
    <row r="30" spans="1:9">
      <c r="A30" s="121" t="s">
        <v>8</v>
      </c>
      <c r="B30" s="1323" t="s">
        <v>8</v>
      </c>
      <c r="C30" s="1325" t="s">
        <v>8</v>
      </c>
      <c r="D30" s="1325" t="s">
        <v>8</v>
      </c>
      <c r="E30" s="1329" t="s">
        <v>8</v>
      </c>
      <c r="F30" s="1325" t="s">
        <v>8</v>
      </c>
      <c r="G30" s="1331" t="s">
        <v>8</v>
      </c>
      <c r="H30" s="1317" t="s">
        <v>8</v>
      </c>
      <c r="I30" s="121" t="s">
        <v>8</v>
      </c>
    </row>
    <row r="31" spans="1:9">
      <c r="A31" s="121" t="s">
        <v>8</v>
      </c>
      <c r="B31" s="1323" t="s">
        <v>8</v>
      </c>
      <c r="C31" s="1325" t="s">
        <v>8</v>
      </c>
      <c r="D31" s="1325" t="s">
        <v>8</v>
      </c>
      <c r="E31" s="1329" t="s">
        <v>8</v>
      </c>
      <c r="F31" s="1325" t="s">
        <v>8</v>
      </c>
      <c r="G31" s="1331" t="s">
        <v>8</v>
      </c>
      <c r="H31" s="1317" t="s">
        <v>8</v>
      </c>
      <c r="I31" s="121" t="s">
        <v>8</v>
      </c>
    </row>
    <row r="32" spans="1:9" ht="15.75" thickBot="1">
      <c r="A32" s="121" t="s">
        <v>8</v>
      </c>
      <c r="B32" s="1324" t="s">
        <v>8</v>
      </c>
      <c r="C32" s="1326" t="s">
        <v>8</v>
      </c>
      <c r="D32" s="1328" t="s">
        <v>51</v>
      </c>
      <c r="E32" s="1330">
        <f>SUM($E$30:$E$31)</f>
        <v>0</v>
      </c>
      <c r="F32" s="1326" t="s">
        <v>8</v>
      </c>
      <c r="G32" s="1332" t="s">
        <v>8</v>
      </c>
      <c r="H32" s="1312" t="s">
        <v>8</v>
      </c>
      <c r="I32" s="121" t="s">
        <v>8</v>
      </c>
    </row>
    <row r="33" spans="1:9" ht="15.75" thickTop="1">
      <c r="A33" s="121" t="s">
        <v>8</v>
      </c>
      <c r="B33" s="1314" t="s">
        <v>8</v>
      </c>
      <c r="C33" s="121" t="s">
        <v>8</v>
      </c>
      <c r="D33" s="121" t="s">
        <v>8</v>
      </c>
      <c r="E33" s="122" t="s">
        <v>8</v>
      </c>
      <c r="F33" s="121" t="s">
        <v>8</v>
      </c>
      <c r="G33" s="1313" t="s">
        <v>8</v>
      </c>
      <c r="H33" s="121" t="s">
        <v>8</v>
      </c>
      <c r="I33" s="121" t="s">
        <v>8</v>
      </c>
    </row>
    <row r="34" spans="1:9" ht="15.75" thickBot="1">
      <c r="A34" s="121" t="s">
        <v>8</v>
      </c>
      <c r="B34" s="1314" t="s">
        <v>8</v>
      </c>
      <c r="C34" s="121" t="s">
        <v>8</v>
      </c>
      <c r="D34" s="121" t="s">
        <v>8</v>
      </c>
      <c r="E34" s="122" t="s">
        <v>8</v>
      </c>
      <c r="F34" s="121" t="s">
        <v>8</v>
      </c>
      <c r="G34" s="1313" t="s">
        <v>8</v>
      </c>
      <c r="H34" s="121" t="s">
        <v>8</v>
      </c>
      <c r="I34" s="121" t="s">
        <v>8</v>
      </c>
    </row>
    <row r="35" spans="1:9" ht="15.75" thickTop="1">
      <c r="A35" s="121" t="s">
        <v>8</v>
      </c>
      <c r="B35" s="1336" t="s">
        <v>8</v>
      </c>
      <c r="C35" s="1322" t="s">
        <v>8</v>
      </c>
      <c r="D35" s="1327" t="s">
        <v>273</v>
      </c>
      <c r="E35" s="1337" t="s">
        <v>8</v>
      </c>
      <c r="F35" s="1322" t="s">
        <v>8</v>
      </c>
      <c r="G35" s="1338" t="s">
        <v>8</v>
      </c>
      <c r="H35" s="1309" t="s">
        <v>8</v>
      </c>
      <c r="I35" s="121" t="s">
        <v>8</v>
      </c>
    </row>
    <row r="36" spans="1:9">
      <c r="A36" s="121" t="s">
        <v>8</v>
      </c>
      <c r="B36" s="1323" t="s">
        <v>8</v>
      </c>
      <c r="C36" s="1325" t="s">
        <v>8</v>
      </c>
      <c r="D36" s="1325" t="s">
        <v>8</v>
      </c>
      <c r="E36" s="1329" t="s">
        <v>8</v>
      </c>
      <c r="F36" s="1325" t="s">
        <v>8</v>
      </c>
      <c r="G36" s="1331" t="s">
        <v>8</v>
      </c>
      <c r="H36" s="1317" t="s">
        <v>8</v>
      </c>
      <c r="I36" s="121" t="s">
        <v>8</v>
      </c>
    </row>
    <row r="37" spans="1:9">
      <c r="A37" s="121" t="s">
        <v>8</v>
      </c>
      <c r="B37" s="1323" t="s">
        <v>8</v>
      </c>
      <c r="C37" s="1325" t="s">
        <v>8</v>
      </c>
      <c r="D37" s="1325" t="s">
        <v>8</v>
      </c>
      <c r="E37" s="1329" t="s">
        <v>8</v>
      </c>
      <c r="F37" s="1325" t="s">
        <v>8</v>
      </c>
      <c r="G37" s="1331" t="s">
        <v>8</v>
      </c>
      <c r="H37" s="1317" t="s">
        <v>8</v>
      </c>
      <c r="I37" s="121" t="s">
        <v>8</v>
      </c>
    </row>
    <row r="38" spans="1:9" ht="15.75" thickBot="1">
      <c r="A38" s="121" t="s">
        <v>8</v>
      </c>
      <c r="B38" s="1324" t="s">
        <v>8</v>
      </c>
      <c r="C38" s="1326" t="s">
        <v>8</v>
      </c>
      <c r="D38" s="1328" t="s">
        <v>51</v>
      </c>
      <c r="E38" s="1330">
        <f>SUM($E$36:$E$37)</f>
        <v>0</v>
      </c>
      <c r="F38" s="1326" t="s">
        <v>8</v>
      </c>
      <c r="G38" s="1332" t="s">
        <v>8</v>
      </c>
      <c r="H38" s="1312" t="s">
        <v>8</v>
      </c>
      <c r="I38" s="121" t="s">
        <v>8</v>
      </c>
    </row>
    <row r="39" spans="1:9" ht="16.5" thickTop="1" thickBot="1">
      <c r="A39" s="121" t="s">
        <v>8</v>
      </c>
      <c r="B39" s="1314" t="s">
        <v>8</v>
      </c>
      <c r="C39" s="121" t="s">
        <v>8</v>
      </c>
      <c r="D39" s="121" t="s">
        <v>8</v>
      </c>
      <c r="E39" s="122" t="s">
        <v>8</v>
      </c>
      <c r="F39" s="121" t="s">
        <v>8</v>
      </c>
      <c r="G39" s="1313" t="s">
        <v>8</v>
      </c>
      <c r="H39" s="121" t="s">
        <v>8</v>
      </c>
      <c r="I39" s="121" t="s">
        <v>8</v>
      </c>
    </row>
    <row r="40" spans="1:9" ht="15.75" thickTop="1">
      <c r="A40" s="121" t="s">
        <v>8</v>
      </c>
      <c r="B40" s="1333" t="s">
        <v>8</v>
      </c>
      <c r="C40" s="1308" t="s">
        <v>8</v>
      </c>
      <c r="D40" s="1308" t="s">
        <v>8</v>
      </c>
      <c r="E40" s="1334" t="s">
        <v>8</v>
      </c>
      <c r="F40" s="1308" t="s">
        <v>8</v>
      </c>
      <c r="G40" s="1335" t="s">
        <v>8</v>
      </c>
      <c r="H40" s="1309" t="s">
        <v>8</v>
      </c>
      <c r="I40" s="121" t="s">
        <v>8</v>
      </c>
    </row>
    <row r="41" spans="1:9">
      <c r="A41" s="121" t="s">
        <v>8</v>
      </c>
      <c r="B41" s="1316" t="s">
        <v>8</v>
      </c>
      <c r="C41" s="2107" t="s">
        <v>8</v>
      </c>
      <c r="D41" s="2109" t="s">
        <v>114</v>
      </c>
      <c r="E41" s="2108">
        <f>ABS(E13+$E$20-$E$38+$E$26-$E$32)</f>
        <v>2623086.86</v>
      </c>
      <c r="F41" s="2107" t="s">
        <v>8</v>
      </c>
      <c r="G41" s="2111" t="s">
        <v>8</v>
      </c>
      <c r="H41" s="1317" t="s">
        <v>8</v>
      </c>
      <c r="I41" s="121" t="s">
        <v>8</v>
      </c>
    </row>
    <row r="42" spans="1:9">
      <c r="A42" s="121" t="s">
        <v>8</v>
      </c>
      <c r="B42" s="1316" t="s">
        <v>8</v>
      </c>
      <c r="C42" s="2107" t="s">
        <v>8</v>
      </c>
      <c r="D42" s="2109" t="s">
        <v>115</v>
      </c>
      <c r="E42" s="2108">
        <v>2623086.86</v>
      </c>
      <c r="F42" s="2107" t="s">
        <v>8</v>
      </c>
      <c r="G42" s="2111" t="s">
        <v>8</v>
      </c>
      <c r="H42" s="1317" t="s">
        <v>8</v>
      </c>
      <c r="I42" s="121" t="s">
        <v>29</v>
      </c>
    </row>
    <row r="43" spans="1:9" ht="15.75" thickBot="1">
      <c r="A43" s="121" t="s">
        <v>8</v>
      </c>
      <c r="B43" s="1318" t="s">
        <v>8</v>
      </c>
      <c r="C43" s="1311" t="s">
        <v>8</v>
      </c>
      <c r="D43" s="1319" t="s">
        <v>117</v>
      </c>
      <c r="E43" s="1320">
        <f>$E$42-$E$41</f>
        <v>0</v>
      </c>
      <c r="F43" s="1311" t="s">
        <v>8</v>
      </c>
      <c r="G43" s="1321" t="s">
        <v>8</v>
      </c>
      <c r="H43" s="1312" t="s">
        <v>8</v>
      </c>
      <c r="I43" s="121" t="s">
        <v>8</v>
      </c>
    </row>
    <row r="44" spans="1:9" ht="16.5" thickTop="1" thickBot="1">
      <c r="A44" s="121" t="s">
        <v>8</v>
      </c>
      <c r="B44" s="1314" t="s">
        <v>8</v>
      </c>
      <c r="C44" s="121" t="s">
        <v>8</v>
      </c>
      <c r="D44" s="121" t="s">
        <v>8</v>
      </c>
      <c r="E44" s="122" t="s">
        <v>8</v>
      </c>
      <c r="F44" s="121" t="s">
        <v>8</v>
      </c>
      <c r="G44" s="1313" t="s">
        <v>8</v>
      </c>
      <c r="H44" s="121" t="s">
        <v>8</v>
      </c>
      <c r="I44" s="121" t="s">
        <v>8</v>
      </c>
    </row>
    <row r="45" spans="1:9" ht="15.75" thickTop="1">
      <c r="A45" s="121" t="s">
        <v>8</v>
      </c>
      <c r="B45" s="1333" t="s">
        <v>8</v>
      </c>
      <c r="C45" s="1308" t="s">
        <v>8</v>
      </c>
      <c r="D45" s="1315" t="s">
        <v>118</v>
      </c>
      <c r="E45" s="1339" t="s">
        <v>119</v>
      </c>
      <c r="F45" s="1315" t="s">
        <v>120</v>
      </c>
      <c r="G45" s="1335">
        <v>45981</v>
      </c>
      <c r="H45" s="1309" t="s">
        <v>8</v>
      </c>
      <c r="I45" s="121" t="s">
        <v>8</v>
      </c>
    </row>
    <row r="46" spans="1:9">
      <c r="A46" s="121" t="s">
        <v>8</v>
      </c>
      <c r="B46" s="1316" t="s">
        <v>8</v>
      </c>
      <c r="C46" s="2107" t="s">
        <v>8</v>
      </c>
      <c r="D46" s="2107" t="s">
        <v>8</v>
      </c>
      <c r="E46" s="2110" t="s">
        <v>8</v>
      </c>
      <c r="F46" s="2107" t="s">
        <v>8</v>
      </c>
      <c r="G46" s="2111" t="s">
        <v>8</v>
      </c>
      <c r="H46" s="1317" t="s">
        <v>8</v>
      </c>
      <c r="I46" s="121" t="s">
        <v>8</v>
      </c>
    </row>
    <row r="47" spans="1:9">
      <c r="A47" s="121" t="s">
        <v>8</v>
      </c>
      <c r="B47" s="1316" t="s">
        <v>8</v>
      </c>
      <c r="C47" s="2107" t="s">
        <v>8</v>
      </c>
      <c r="D47" s="2107" t="s">
        <v>8</v>
      </c>
      <c r="E47" s="2110" t="s">
        <v>8</v>
      </c>
      <c r="F47" s="2107" t="s">
        <v>8</v>
      </c>
      <c r="G47" s="2111" t="s">
        <v>8</v>
      </c>
      <c r="H47" s="1317" t="s">
        <v>8</v>
      </c>
      <c r="I47" s="121" t="s">
        <v>8</v>
      </c>
    </row>
    <row r="48" spans="1:9">
      <c r="A48" s="121" t="s">
        <v>8</v>
      </c>
      <c r="B48" s="1316" t="s">
        <v>8</v>
      </c>
      <c r="C48" s="2107" t="s">
        <v>8</v>
      </c>
      <c r="D48" s="2109" t="s">
        <v>121</v>
      </c>
      <c r="E48" s="2108" t="s">
        <v>8</v>
      </c>
      <c r="F48" s="2109" t="s">
        <v>120</v>
      </c>
      <c r="G48" s="2111" t="s">
        <v>8</v>
      </c>
      <c r="H48" s="1317" t="s">
        <v>8</v>
      </c>
      <c r="I48" s="121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topLeftCell="A6" workbookViewId="0"/>
  </sheetViews>
  <sheetFormatPr defaultRowHeight="15"/>
  <cols>
    <col min="1" max="1" width="7.42578125" bestFit="1" customWidth="1"/>
    <col min="2" max="2" width="16.28515625" bestFit="1" customWidth="1"/>
    <col min="3" max="3" width="11.7109375" bestFit="1" customWidth="1"/>
    <col min="4" max="4" width="110.7109375" bestFit="1" customWidth="1"/>
    <col min="5" max="5" width="24.5703125" bestFit="1" customWidth="1"/>
    <col min="6" max="6" width="15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26" t="s">
        <v>0</v>
      </c>
      <c r="B1" s="126" t="s">
        <v>1</v>
      </c>
      <c r="C1" s="126" t="s">
        <v>2</v>
      </c>
      <c r="D1" s="126" t="s">
        <v>3</v>
      </c>
      <c r="E1" s="126" t="s">
        <v>4</v>
      </c>
      <c r="F1" s="126" t="s">
        <v>5</v>
      </c>
      <c r="G1" s="126" t="s">
        <v>6</v>
      </c>
      <c r="H1" s="126" t="s">
        <v>7</v>
      </c>
      <c r="I1" s="126" t="s">
        <v>196</v>
      </c>
    </row>
    <row r="2" spans="1:9">
      <c r="A2" s="124" t="s">
        <v>8</v>
      </c>
      <c r="B2" s="124" t="s">
        <v>8</v>
      </c>
      <c r="C2" s="124" t="s">
        <v>8</v>
      </c>
      <c r="D2" s="124" t="s">
        <v>8</v>
      </c>
      <c r="E2" s="124" t="s">
        <v>8</v>
      </c>
      <c r="F2" s="124" t="s">
        <v>8</v>
      </c>
      <c r="G2" s="124" t="s">
        <v>8</v>
      </c>
      <c r="H2" s="124" t="s">
        <v>8</v>
      </c>
      <c r="I2" s="124" t="s">
        <v>8</v>
      </c>
    </row>
    <row r="3" spans="1:9" ht="15.75" thickBot="1">
      <c r="A3" s="124" t="s">
        <v>8</v>
      </c>
      <c r="B3" s="124" t="s">
        <v>8</v>
      </c>
      <c r="C3" s="124" t="s">
        <v>8</v>
      </c>
      <c r="D3" s="124" t="s">
        <v>8</v>
      </c>
      <c r="E3" s="124" t="s">
        <v>8</v>
      </c>
      <c r="F3" s="124" t="s">
        <v>8</v>
      </c>
      <c r="G3" s="124" t="s">
        <v>8</v>
      </c>
      <c r="H3" s="124" t="s">
        <v>8</v>
      </c>
      <c r="I3" s="124" t="s">
        <v>8</v>
      </c>
    </row>
    <row r="4" spans="1:9" ht="16.5" thickTop="1" thickBot="1">
      <c r="A4" s="124" t="s">
        <v>8</v>
      </c>
      <c r="B4" s="124" t="s">
        <v>14</v>
      </c>
      <c r="C4" s="124" t="s">
        <v>8</v>
      </c>
      <c r="D4" s="1341" t="s">
        <v>15</v>
      </c>
      <c r="E4" s="124" t="s">
        <v>16</v>
      </c>
      <c r="F4" s="1341" t="s">
        <v>274</v>
      </c>
      <c r="G4" s="124" t="s">
        <v>8</v>
      </c>
      <c r="H4" s="124" t="s">
        <v>8</v>
      </c>
      <c r="I4" s="124" t="s">
        <v>8</v>
      </c>
    </row>
    <row r="5" spans="1:9" ht="16.5" thickTop="1" thickBot="1">
      <c r="A5" s="124" t="s">
        <v>8</v>
      </c>
      <c r="B5" s="124" t="s">
        <v>8</v>
      </c>
      <c r="C5" s="124" t="s">
        <v>8</v>
      </c>
      <c r="D5" s="124" t="s">
        <v>8</v>
      </c>
      <c r="E5" s="124" t="s">
        <v>8</v>
      </c>
      <c r="F5" s="124" t="s">
        <v>8</v>
      </c>
      <c r="G5" s="124" t="s">
        <v>8</v>
      </c>
      <c r="H5" s="124" t="s">
        <v>8</v>
      </c>
      <c r="I5" s="124" t="s">
        <v>8</v>
      </c>
    </row>
    <row r="6" spans="1:9" ht="16.5" thickTop="1" thickBot="1">
      <c r="A6" s="124" t="s">
        <v>8</v>
      </c>
      <c r="B6" s="124" t="s">
        <v>18</v>
      </c>
      <c r="C6" s="124" t="s">
        <v>8</v>
      </c>
      <c r="D6" s="1341" t="s">
        <v>19</v>
      </c>
      <c r="E6" s="124" t="s">
        <v>20</v>
      </c>
      <c r="F6" s="1341" t="s">
        <v>275</v>
      </c>
      <c r="G6" s="124" t="s">
        <v>8</v>
      </c>
      <c r="H6" s="124" t="s">
        <v>8</v>
      </c>
      <c r="I6" s="124" t="s">
        <v>8</v>
      </c>
    </row>
    <row r="7" spans="1:9" ht="16.5" thickTop="1" thickBot="1">
      <c r="A7" s="124" t="s">
        <v>8</v>
      </c>
      <c r="B7" s="124" t="s">
        <v>8</v>
      </c>
      <c r="C7" s="124" t="s">
        <v>8</v>
      </c>
      <c r="D7" s="124" t="s">
        <v>8</v>
      </c>
      <c r="E7" s="124" t="s">
        <v>8</v>
      </c>
      <c r="F7" s="124" t="s">
        <v>8</v>
      </c>
      <c r="G7" s="124" t="s">
        <v>8</v>
      </c>
      <c r="H7" s="124" t="s">
        <v>8</v>
      </c>
      <c r="I7" s="124" t="s">
        <v>8</v>
      </c>
    </row>
    <row r="8" spans="1:9" ht="16.5" thickTop="1" thickBot="1">
      <c r="A8" s="124" t="s">
        <v>8</v>
      </c>
      <c r="B8" s="124" t="s">
        <v>22</v>
      </c>
      <c r="C8" s="124" t="s">
        <v>8</v>
      </c>
      <c r="D8" s="1341" t="s">
        <v>11</v>
      </c>
      <c r="E8" s="124" t="s">
        <v>23</v>
      </c>
      <c r="F8" s="1341" t="s">
        <v>276</v>
      </c>
      <c r="G8" s="124" t="s">
        <v>8</v>
      </c>
      <c r="H8" s="124" t="s">
        <v>8</v>
      </c>
      <c r="I8" s="124" t="s">
        <v>8</v>
      </c>
    </row>
    <row r="9" spans="1:9" ht="16.5" thickTop="1" thickBot="1">
      <c r="A9" s="124" t="s">
        <v>8</v>
      </c>
      <c r="B9" s="124" t="s">
        <v>8</v>
      </c>
      <c r="C9" s="124" t="s">
        <v>8</v>
      </c>
      <c r="D9" s="124" t="s">
        <v>8</v>
      </c>
      <c r="E9" s="124" t="s">
        <v>8</v>
      </c>
      <c r="F9" s="124" t="s">
        <v>8</v>
      </c>
      <c r="G9" s="124" t="s">
        <v>8</v>
      </c>
      <c r="H9" s="124" t="s">
        <v>8</v>
      </c>
      <c r="I9" s="124" t="s">
        <v>8</v>
      </c>
    </row>
    <row r="10" spans="1:9" ht="16.5" thickTop="1" thickBot="1">
      <c r="A10" s="124" t="s">
        <v>8</v>
      </c>
      <c r="B10" s="124" t="s">
        <v>25</v>
      </c>
      <c r="C10" s="124" t="s">
        <v>8</v>
      </c>
      <c r="D10" s="1341" t="s">
        <v>26</v>
      </c>
      <c r="E10" s="124" t="s">
        <v>8</v>
      </c>
      <c r="F10" s="124" t="s">
        <v>8</v>
      </c>
      <c r="G10" s="124" t="s">
        <v>8</v>
      </c>
      <c r="H10" s="124" t="s">
        <v>8</v>
      </c>
      <c r="I10" s="124" t="s">
        <v>8</v>
      </c>
    </row>
    <row r="11" spans="1:9" ht="16.5" thickTop="1" thickBot="1">
      <c r="A11" s="124" t="s">
        <v>8</v>
      </c>
      <c r="B11" s="124" t="s">
        <v>8</v>
      </c>
      <c r="C11" s="124" t="s">
        <v>8</v>
      </c>
      <c r="D11" s="124" t="s">
        <v>8</v>
      </c>
      <c r="E11" s="124" t="s">
        <v>8</v>
      </c>
      <c r="F11" s="124" t="s">
        <v>8</v>
      </c>
      <c r="G11" s="124" t="s">
        <v>8</v>
      </c>
      <c r="H11" s="124" t="s">
        <v>8</v>
      </c>
      <c r="I11" s="124" t="s">
        <v>8</v>
      </c>
    </row>
    <row r="12" spans="1:9" ht="16.5" thickTop="1" thickBot="1">
      <c r="A12" s="124" t="s">
        <v>8</v>
      </c>
      <c r="B12" s="1342" t="s">
        <v>8</v>
      </c>
      <c r="C12" s="1343" t="s">
        <v>8</v>
      </c>
      <c r="D12" s="1343" t="s">
        <v>8</v>
      </c>
      <c r="E12" s="1343" t="s">
        <v>8</v>
      </c>
      <c r="F12" s="1343" t="s">
        <v>8</v>
      </c>
      <c r="G12" s="1343" t="s">
        <v>8</v>
      </c>
      <c r="H12" s="1344" t="s">
        <v>8</v>
      </c>
      <c r="I12" s="124" t="s">
        <v>8</v>
      </c>
    </row>
    <row r="13" spans="1:9" ht="16.5" thickTop="1" thickBot="1">
      <c r="A13" s="124" t="s">
        <v>8</v>
      </c>
      <c r="B13" s="1345" t="s">
        <v>8</v>
      </c>
      <c r="C13" s="1340" t="s">
        <v>11</v>
      </c>
      <c r="D13" s="1346" t="s">
        <v>28</v>
      </c>
      <c r="E13" s="1355">
        <v>11414016.560000001</v>
      </c>
      <c r="F13" s="1346" t="s">
        <v>8</v>
      </c>
      <c r="G13" s="1346" t="s">
        <v>8</v>
      </c>
      <c r="H13" s="1347" t="s">
        <v>8</v>
      </c>
      <c r="I13" s="124" t="s">
        <v>29</v>
      </c>
    </row>
    <row r="14" spans="1:9" ht="16.5" thickTop="1" thickBot="1">
      <c r="A14" s="124" t="s">
        <v>8</v>
      </c>
      <c r="B14" s="124" t="s">
        <v>8</v>
      </c>
      <c r="C14" s="124" t="s">
        <v>8</v>
      </c>
      <c r="D14" s="124" t="s">
        <v>8</v>
      </c>
      <c r="E14" s="124" t="s">
        <v>8</v>
      </c>
      <c r="F14" s="124" t="s">
        <v>8</v>
      </c>
      <c r="G14" s="124" t="s">
        <v>8</v>
      </c>
      <c r="H14" s="124" t="s">
        <v>8</v>
      </c>
      <c r="I14" s="124" t="s">
        <v>8</v>
      </c>
    </row>
    <row r="15" spans="1:9" ht="16.5" thickTop="1" thickBot="1">
      <c r="A15" s="124" t="s">
        <v>8</v>
      </c>
      <c r="B15" s="1341" t="s">
        <v>30</v>
      </c>
      <c r="C15" s="1340" t="s">
        <v>31</v>
      </c>
      <c r="D15" s="1340" t="s">
        <v>32</v>
      </c>
      <c r="E15" s="1340" t="s">
        <v>33</v>
      </c>
      <c r="F15" s="1340" t="s">
        <v>34</v>
      </c>
      <c r="G15" s="1340" t="s">
        <v>35</v>
      </c>
      <c r="H15" s="1340" t="s">
        <v>36</v>
      </c>
      <c r="I15" s="124" t="s">
        <v>8</v>
      </c>
    </row>
    <row r="16" spans="1:9" ht="16.5" thickTop="1" thickBot="1">
      <c r="A16" s="124" t="s">
        <v>8</v>
      </c>
      <c r="B16" s="124" t="s">
        <v>8</v>
      </c>
      <c r="C16" s="124" t="s">
        <v>8</v>
      </c>
      <c r="D16" s="124" t="s">
        <v>8</v>
      </c>
      <c r="E16" s="124" t="s">
        <v>8</v>
      </c>
      <c r="F16" s="124" t="s">
        <v>8</v>
      </c>
      <c r="G16" s="124" t="s">
        <v>8</v>
      </c>
      <c r="H16" s="124" t="s">
        <v>8</v>
      </c>
      <c r="I16" s="124" t="s">
        <v>8</v>
      </c>
    </row>
    <row r="17" spans="1:9" ht="15.75" thickTop="1">
      <c r="A17" s="124" t="s">
        <v>8</v>
      </c>
      <c r="B17" s="1357" t="s">
        <v>8</v>
      </c>
      <c r="C17" s="1357" t="s">
        <v>8</v>
      </c>
      <c r="D17" s="1362" t="s">
        <v>277</v>
      </c>
      <c r="E17" s="1357" t="s">
        <v>8</v>
      </c>
      <c r="F17" s="1357" t="s">
        <v>8</v>
      </c>
      <c r="G17" s="1357" t="s">
        <v>8</v>
      </c>
      <c r="H17" s="1344" t="s">
        <v>8</v>
      </c>
      <c r="I17" s="124" t="s">
        <v>8</v>
      </c>
    </row>
    <row r="18" spans="1:9">
      <c r="A18" s="124" t="s">
        <v>8</v>
      </c>
      <c r="B18" s="1358" t="s">
        <v>8</v>
      </c>
      <c r="C18" s="1360" t="s">
        <v>8</v>
      </c>
      <c r="D18" s="1360" t="s">
        <v>8</v>
      </c>
      <c r="E18" s="1364" t="s">
        <v>8</v>
      </c>
      <c r="F18" s="1360" t="s">
        <v>8</v>
      </c>
      <c r="G18" s="1366" t="s">
        <v>8</v>
      </c>
      <c r="H18" s="1352" t="s">
        <v>8</v>
      </c>
      <c r="I18" s="124" t="s">
        <v>8</v>
      </c>
    </row>
    <row r="19" spans="1:9">
      <c r="A19" s="124" t="s">
        <v>8</v>
      </c>
      <c r="B19" s="1358" t="s">
        <v>8</v>
      </c>
      <c r="C19" s="1360" t="s">
        <v>8</v>
      </c>
      <c r="D19" s="1360" t="s">
        <v>8</v>
      </c>
      <c r="E19" s="1364" t="s">
        <v>8</v>
      </c>
      <c r="F19" s="1360" t="s">
        <v>8</v>
      </c>
      <c r="G19" s="1366" t="s">
        <v>8</v>
      </c>
      <c r="H19" s="1352" t="s">
        <v>8</v>
      </c>
      <c r="I19" s="124" t="s">
        <v>8</v>
      </c>
    </row>
    <row r="20" spans="1:9" ht="15.75" thickBot="1">
      <c r="A20" s="124" t="s">
        <v>8</v>
      </c>
      <c r="B20" s="1359" t="s">
        <v>8</v>
      </c>
      <c r="C20" s="1361" t="s">
        <v>8</v>
      </c>
      <c r="D20" s="1363" t="s">
        <v>51</v>
      </c>
      <c r="E20" s="1365">
        <f>SUM($E$18:$E$19)</f>
        <v>0</v>
      </c>
      <c r="F20" s="1361" t="s">
        <v>8</v>
      </c>
      <c r="G20" s="1367" t="s">
        <v>8</v>
      </c>
      <c r="H20" s="1347" t="s">
        <v>8</v>
      </c>
      <c r="I20" s="124" t="s">
        <v>8</v>
      </c>
    </row>
    <row r="21" spans="1:9" ht="15.75" thickTop="1">
      <c r="A21" s="124" t="s">
        <v>8</v>
      </c>
      <c r="B21" s="1349" t="s">
        <v>8</v>
      </c>
      <c r="C21" s="124" t="s">
        <v>8</v>
      </c>
      <c r="D21" s="124" t="s">
        <v>8</v>
      </c>
      <c r="E21" s="125" t="s">
        <v>8</v>
      </c>
      <c r="F21" s="124" t="s">
        <v>8</v>
      </c>
      <c r="G21" s="1348" t="s">
        <v>8</v>
      </c>
      <c r="H21" s="124" t="s">
        <v>8</v>
      </c>
      <c r="I21" s="124" t="s">
        <v>8</v>
      </c>
    </row>
    <row r="22" spans="1:9" ht="15.75" thickBot="1">
      <c r="A22" s="124" t="s">
        <v>8</v>
      </c>
      <c r="B22" s="1349" t="s">
        <v>8</v>
      </c>
      <c r="C22" s="124" t="s">
        <v>8</v>
      </c>
      <c r="D22" s="124" t="s">
        <v>8</v>
      </c>
      <c r="E22" s="125" t="s">
        <v>8</v>
      </c>
      <c r="F22" s="124" t="s">
        <v>8</v>
      </c>
      <c r="G22" s="1348" t="s">
        <v>8</v>
      </c>
      <c r="H22" s="124" t="s">
        <v>8</v>
      </c>
      <c r="I22" s="124" t="s">
        <v>8</v>
      </c>
    </row>
    <row r="23" spans="1:9" ht="15.75" thickTop="1">
      <c r="A23" s="124" t="s">
        <v>8</v>
      </c>
      <c r="B23" s="1371" t="s">
        <v>8</v>
      </c>
      <c r="C23" s="1357" t="s">
        <v>8</v>
      </c>
      <c r="D23" s="1362" t="s">
        <v>278</v>
      </c>
      <c r="E23" s="1372" t="s">
        <v>8</v>
      </c>
      <c r="F23" s="1357" t="s">
        <v>8</v>
      </c>
      <c r="G23" s="1373" t="s">
        <v>8</v>
      </c>
      <c r="H23" s="1344" t="s">
        <v>8</v>
      </c>
      <c r="I23" s="124" t="s">
        <v>8</v>
      </c>
    </row>
    <row r="24" spans="1:9">
      <c r="A24" s="124" t="s">
        <v>8</v>
      </c>
      <c r="B24" s="1358" t="s">
        <v>8</v>
      </c>
      <c r="C24" s="1360" t="s">
        <v>8</v>
      </c>
      <c r="D24" s="1360" t="s">
        <v>8</v>
      </c>
      <c r="E24" s="1364" t="s">
        <v>8</v>
      </c>
      <c r="F24" s="1360" t="s">
        <v>8</v>
      </c>
      <c r="G24" s="1366" t="s">
        <v>8</v>
      </c>
      <c r="H24" s="1352" t="s">
        <v>8</v>
      </c>
      <c r="I24" s="124" t="s">
        <v>8</v>
      </c>
    </row>
    <row r="25" spans="1:9">
      <c r="A25" s="124" t="s">
        <v>8</v>
      </c>
      <c r="B25" s="1358" t="s">
        <v>8</v>
      </c>
      <c r="C25" s="1360" t="s">
        <v>8</v>
      </c>
      <c r="D25" s="1360" t="s">
        <v>8</v>
      </c>
      <c r="E25" s="1364" t="s">
        <v>8</v>
      </c>
      <c r="F25" s="1360" t="s">
        <v>8</v>
      </c>
      <c r="G25" s="1366" t="s">
        <v>8</v>
      </c>
      <c r="H25" s="1352" t="s">
        <v>8</v>
      </c>
      <c r="I25" s="124" t="s">
        <v>8</v>
      </c>
    </row>
    <row r="26" spans="1:9" ht="15.75" thickBot="1">
      <c r="A26" s="124" t="s">
        <v>8</v>
      </c>
      <c r="B26" s="1359" t="s">
        <v>8</v>
      </c>
      <c r="C26" s="1361" t="s">
        <v>8</v>
      </c>
      <c r="D26" s="1363" t="s">
        <v>51</v>
      </c>
      <c r="E26" s="1365">
        <f>SUM($E$24:$E$25)</f>
        <v>0</v>
      </c>
      <c r="F26" s="1361" t="s">
        <v>8</v>
      </c>
      <c r="G26" s="1367" t="s">
        <v>8</v>
      </c>
      <c r="H26" s="1347" t="s">
        <v>8</v>
      </c>
      <c r="I26" s="124" t="s">
        <v>8</v>
      </c>
    </row>
    <row r="27" spans="1:9" ht="15.75" thickTop="1">
      <c r="A27" s="124" t="s">
        <v>8</v>
      </c>
      <c r="B27" s="1349" t="s">
        <v>8</v>
      </c>
      <c r="C27" s="124" t="s">
        <v>8</v>
      </c>
      <c r="D27" s="124" t="s">
        <v>8</v>
      </c>
      <c r="E27" s="125" t="s">
        <v>8</v>
      </c>
      <c r="F27" s="124" t="s">
        <v>8</v>
      </c>
      <c r="G27" s="1348" t="s">
        <v>8</v>
      </c>
      <c r="H27" s="124" t="s">
        <v>8</v>
      </c>
      <c r="I27" s="124" t="s">
        <v>8</v>
      </c>
    </row>
    <row r="28" spans="1:9" ht="15.75" thickBot="1">
      <c r="A28" s="124" t="s">
        <v>8</v>
      </c>
      <c r="B28" s="1349" t="s">
        <v>8</v>
      </c>
      <c r="C28" s="124" t="s">
        <v>8</v>
      </c>
      <c r="D28" s="124" t="s">
        <v>8</v>
      </c>
      <c r="E28" s="125" t="s">
        <v>8</v>
      </c>
      <c r="F28" s="124" t="s">
        <v>8</v>
      </c>
      <c r="G28" s="1348" t="s">
        <v>8</v>
      </c>
      <c r="H28" s="124" t="s">
        <v>8</v>
      </c>
      <c r="I28" s="124" t="s">
        <v>8</v>
      </c>
    </row>
    <row r="29" spans="1:9" ht="15.75" thickTop="1">
      <c r="A29" s="124" t="s">
        <v>8</v>
      </c>
      <c r="B29" s="1371" t="s">
        <v>8</v>
      </c>
      <c r="C29" s="1357" t="s">
        <v>8</v>
      </c>
      <c r="D29" s="1362" t="s">
        <v>279</v>
      </c>
      <c r="E29" s="1372" t="s">
        <v>8</v>
      </c>
      <c r="F29" s="1357" t="s">
        <v>8</v>
      </c>
      <c r="G29" s="1373" t="s">
        <v>8</v>
      </c>
      <c r="H29" s="1344" t="s">
        <v>8</v>
      </c>
      <c r="I29" s="124" t="s">
        <v>8</v>
      </c>
    </row>
    <row r="30" spans="1:9">
      <c r="A30" s="124" t="s">
        <v>8</v>
      </c>
      <c r="B30" s="1358">
        <v>1</v>
      </c>
      <c r="C30" s="1360" t="s">
        <v>280</v>
      </c>
      <c r="D30" s="1360" t="s">
        <v>281</v>
      </c>
      <c r="E30" s="1364">
        <v>5359.25</v>
      </c>
      <c r="F30" s="1360" t="s">
        <v>8</v>
      </c>
      <c r="G30" s="1366">
        <v>65</v>
      </c>
      <c r="H30" s="1352" t="s">
        <v>88</v>
      </c>
      <c r="I30" s="124" t="s">
        <v>8</v>
      </c>
    </row>
    <row r="31" spans="1:9">
      <c r="A31" s="124" t="s">
        <v>8</v>
      </c>
      <c r="B31" s="1358">
        <v>2</v>
      </c>
      <c r="C31" s="1360" t="s">
        <v>282</v>
      </c>
      <c r="D31" s="1360" t="s">
        <v>283</v>
      </c>
      <c r="E31" s="1364">
        <v>9775</v>
      </c>
      <c r="F31" s="1360" t="s">
        <v>8</v>
      </c>
      <c r="G31" s="1366">
        <v>49</v>
      </c>
      <c r="H31" s="1352" t="s">
        <v>88</v>
      </c>
      <c r="I31" s="124" t="s">
        <v>8</v>
      </c>
    </row>
    <row r="32" spans="1:9">
      <c r="A32" s="124" t="s">
        <v>8</v>
      </c>
      <c r="B32" s="1358">
        <v>3</v>
      </c>
      <c r="C32" s="1360" t="s">
        <v>139</v>
      </c>
      <c r="D32" s="1360" t="s">
        <v>284</v>
      </c>
      <c r="E32" s="1364">
        <v>5525</v>
      </c>
      <c r="F32" s="1360" t="s">
        <v>8</v>
      </c>
      <c r="G32" s="1366">
        <v>38</v>
      </c>
      <c r="H32" s="1352" t="s">
        <v>88</v>
      </c>
      <c r="I32" s="124" t="s">
        <v>8</v>
      </c>
    </row>
    <row r="33" spans="1:9">
      <c r="A33" s="124" t="s">
        <v>8</v>
      </c>
      <c r="B33" s="1358" t="s">
        <v>8</v>
      </c>
      <c r="C33" s="1360" t="s">
        <v>8</v>
      </c>
      <c r="D33" s="1360" t="s">
        <v>8</v>
      </c>
      <c r="E33" s="1364" t="s">
        <v>8</v>
      </c>
      <c r="F33" s="1360" t="s">
        <v>8</v>
      </c>
      <c r="G33" s="1366" t="s">
        <v>8</v>
      </c>
      <c r="H33" s="1352" t="s">
        <v>8</v>
      </c>
      <c r="I33" s="124" t="s">
        <v>8</v>
      </c>
    </row>
    <row r="34" spans="1:9" ht="15.75" thickBot="1">
      <c r="A34" s="124" t="s">
        <v>8</v>
      </c>
      <c r="B34" s="1359" t="s">
        <v>8</v>
      </c>
      <c r="C34" s="1361" t="s">
        <v>8</v>
      </c>
      <c r="D34" s="1363" t="s">
        <v>51</v>
      </c>
      <c r="E34" s="1365">
        <f>SUM($E$30:$E$33)</f>
        <v>20659.25</v>
      </c>
      <c r="F34" s="1361" t="s">
        <v>8</v>
      </c>
      <c r="G34" s="1367" t="s">
        <v>8</v>
      </c>
      <c r="H34" s="1347" t="s">
        <v>8</v>
      </c>
      <c r="I34" s="124" t="s">
        <v>8</v>
      </c>
    </row>
    <row r="35" spans="1:9" ht="15.75" thickTop="1">
      <c r="A35" s="124" t="s">
        <v>8</v>
      </c>
      <c r="B35" s="1349" t="s">
        <v>8</v>
      </c>
      <c r="C35" s="124" t="s">
        <v>8</v>
      </c>
      <c r="D35" s="124" t="s">
        <v>8</v>
      </c>
      <c r="E35" s="125" t="s">
        <v>8</v>
      </c>
      <c r="F35" s="124" t="s">
        <v>8</v>
      </c>
      <c r="G35" s="1348" t="s">
        <v>8</v>
      </c>
      <c r="H35" s="124" t="s">
        <v>8</v>
      </c>
      <c r="I35" s="124" t="s">
        <v>8</v>
      </c>
    </row>
    <row r="36" spans="1:9" ht="15.75" thickBot="1">
      <c r="A36" s="124" t="s">
        <v>8</v>
      </c>
      <c r="B36" s="1349" t="s">
        <v>8</v>
      </c>
      <c r="C36" s="124" t="s">
        <v>8</v>
      </c>
      <c r="D36" s="124" t="s">
        <v>8</v>
      </c>
      <c r="E36" s="125" t="s">
        <v>8</v>
      </c>
      <c r="F36" s="124" t="s">
        <v>8</v>
      </c>
      <c r="G36" s="1348" t="s">
        <v>8</v>
      </c>
      <c r="H36" s="124" t="s">
        <v>8</v>
      </c>
      <c r="I36" s="124" t="s">
        <v>8</v>
      </c>
    </row>
    <row r="37" spans="1:9" ht="15.75" thickTop="1">
      <c r="A37" s="124" t="s">
        <v>8</v>
      </c>
      <c r="B37" s="1371" t="s">
        <v>8</v>
      </c>
      <c r="C37" s="1357" t="s">
        <v>8</v>
      </c>
      <c r="D37" s="1362" t="s">
        <v>285</v>
      </c>
      <c r="E37" s="1372" t="s">
        <v>8</v>
      </c>
      <c r="F37" s="1357" t="s">
        <v>8</v>
      </c>
      <c r="G37" s="1373" t="s">
        <v>8</v>
      </c>
      <c r="H37" s="1344" t="s">
        <v>8</v>
      </c>
      <c r="I37" s="124" t="s">
        <v>8</v>
      </c>
    </row>
    <row r="38" spans="1:9">
      <c r="A38" s="124" t="s">
        <v>8</v>
      </c>
      <c r="B38" s="1358" t="s">
        <v>8</v>
      </c>
      <c r="C38" s="1360" t="s">
        <v>8</v>
      </c>
      <c r="D38" s="1360" t="s">
        <v>8</v>
      </c>
      <c r="E38" s="1364" t="s">
        <v>8</v>
      </c>
      <c r="F38" s="1360" t="s">
        <v>8</v>
      </c>
      <c r="G38" s="1366" t="s">
        <v>8</v>
      </c>
      <c r="H38" s="1352" t="s">
        <v>8</v>
      </c>
      <c r="I38" s="124" t="s">
        <v>8</v>
      </c>
    </row>
    <row r="39" spans="1:9">
      <c r="A39" s="124" t="s">
        <v>8</v>
      </c>
      <c r="B39" s="1358" t="s">
        <v>8</v>
      </c>
      <c r="C39" s="1360" t="s">
        <v>8</v>
      </c>
      <c r="D39" s="1360" t="s">
        <v>8</v>
      </c>
      <c r="E39" s="1364" t="s">
        <v>8</v>
      </c>
      <c r="F39" s="1360" t="s">
        <v>8</v>
      </c>
      <c r="G39" s="1366" t="s">
        <v>8</v>
      </c>
      <c r="H39" s="1352" t="s">
        <v>8</v>
      </c>
      <c r="I39" s="124" t="s">
        <v>8</v>
      </c>
    </row>
    <row r="40" spans="1:9" ht="15.75" thickBot="1">
      <c r="A40" s="124" t="s">
        <v>8</v>
      </c>
      <c r="B40" s="1359" t="s">
        <v>8</v>
      </c>
      <c r="C40" s="1361" t="s">
        <v>8</v>
      </c>
      <c r="D40" s="1363" t="s">
        <v>51</v>
      </c>
      <c r="E40" s="1365">
        <f>SUM($E$38:$E$39)</f>
        <v>0</v>
      </c>
      <c r="F40" s="1361" t="s">
        <v>8</v>
      </c>
      <c r="G40" s="1367" t="s">
        <v>8</v>
      </c>
      <c r="H40" s="1347" t="s">
        <v>8</v>
      </c>
      <c r="I40" s="124" t="s">
        <v>8</v>
      </c>
    </row>
    <row r="41" spans="1:9" ht="16.5" thickTop="1" thickBot="1">
      <c r="A41" s="124" t="s">
        <v>8</v>
      </c>
      <c r="B41" s="1349" t="s">
        <v>8</v>
      </c>
      <c r="C41" s="124" t="s">
        <v>8</v>
      </c>
      <c r="D41" s="124" t="s">
        <v>8</v>
      </c>
      <c r="E41" s="125" t="s">
        <v>8</v>
      </c>
      <c r="F41" s="124" t="s">
        <v>8</v>
      </c>
      <c r="G41" s="1348" t="s">
        <v>8</v>
      </c>
      <c r="H41" s="124" t="s">
        <v>8</v>
      </c>
      <c r="I41" s="124" t="s">
        <v>8</v>
      </c>
    </row>
    <row r="42" spans="1:9" ht="15.75" thickTop="1">
      <c r="A42" s="124" t="s">
        <v>8</v>
      </c>
      <c r="B42" s="1368" t="s">
        <v>8</v>
      </c>
      <c r="C42" s="1343" t="s">
        <v>8</v>
      </c>
      <c r="D42" s="1343" t="s">
        <v>8</v>
      </c>
      <c r="E42" s="1369" t="s">
        <v>8</v>
      </c>
      <c r="F42" s="1343" t="s">
        <v>8</v>
      </c>
      <c r="G42" s="1370" t="s">
        <v>8</v>
      </c>
      <c r="H42" s="1344" t="s">
        <v>8</v>
      </c>
      <c r="I42" s="124" t="s">
        <v>8</v>
      </c>
    </row>
    <row r="43" spans="1:9">
      <c r="A43" s="124" t="s">
        <v>8</v>
      </c>
      <c r="B43" s="1351" t="s">
        <v>8</v>
      </c>
      <c r="C43" s="2112" t="s">
        <v>8</v>
      </c>
      <c r="D43" s="2114" t="s">
        <v>114</v>
      </c>
      <c r="E43" s="2113">
        <f>ABS(E13+$E$20-$E$40+$E$26-$E$34)</f>
        <v>11393357.310000001</v>
      </c>
      <c r="F43" s="2112" t="s">
        <v>8</v>
      </c>
      <c r="G43" s="2116" t="s">
        <v>8</v>
      </c>
      <c r="H43" s="1352" t="s">
        <v>8</v>
      </c>
      <c r="I43" s="124" t="s">
        <v>8</v>
      </c>
    </row>
    <row r="44" spans="1:9">
      <c r="A44" s="124" t="s">
        <v>8</v>
      </c>
      <c r="B44" s="1351" t="s">
        <v>8</v>
      </c>
      <c r="C44" s="2112" t="s">
        <v>8</v>
      </c>
      <c r="D44" s="2114" t="s">
        <v>115</v>
      </c>
      <c r="E44" s="2113">
        <v>11393357.310000001</v>
      </c>
      <c r="F44" s="2112" t="s">
        <v>8</v>
      </c>
      <c r="G44" s="2116" t="s">
        <v>8</v>
      </c>
      <c r="H44" s="1352" t="s">
        <v>8</v>
      </c>
      <c r="I44" s="124" t="s">
        <v>116</v>
      </c>
    </row>
    <row r="45" spans="1:9" ht="15.75" thickBot="1">
      <c r="A45" s="124" t="s">
        <v>8</v>
      </c>
      <c r="B45" s="1353" t="s">
        <v>8</v>
      </c>
      <c r="C45" s="1346" t="s">
        <v>8</v>
      </c>
      <c r="D45" s="1354" t="s">
        <v>117</v>
      </c>
      <c r="E45" s="1355">
        <f>$E$44-$E$43</f>
        <v>0</v>
      </c>
      <c r="F45" s="1346" t="s">
        <v>8</v>
      </c>
      <c r="G45" s="1356" t="s">
        <v>8</v>
      </c>
      <c r="H45" s="1347" t="s">
        <v>8</v>
      </c>
      <c r="I45" s="124" t="s">
        <v>8</v>
      </c>
    </row>
    <row r="46" spans="1:9" ht="16.5" thickTop="1" thickBot="1">
      <c r="A46" s="124" t="s">
        <v>8</v>
      </c>
      <c r="B46" s="1349" t="s">
        <v>8</v>
      </c>
      <c r="C46" s="124" t="s">
        <v>8</v>
      </c>
      <c r="D46" s="124" t="s">
        <v>8</v>
      </c>
      <c r="E46" s="125" t="s">
        <v>8</v>
      </c>
      <c r="F46" s="124" t="s">
        <v>8</v>
      </c>
      <c r="G46" s="1348" t="s">
        <v>8</v>
      </c>
      <c r="H46" s="124" t="s">
        <v>8</v>
      </c>
      <c r="I46" s="124" t="s">
        <v>8</v>
      </c>
    </row>
    <row r="47" spans="1:9" ht="15.75" thickTop="1">
      <c r="A47" s="124" t="s">
        <v>8</v>
      </c>
      <c r="B47" s="1368" t="s">
        <v>8</v>
      </c>
      <c r="C47" s="1343" t="s">
        <v>8</v>
      </c>
      <c r="D47" s="1350" t="s">
        <v>118</v>
      </c>
      <c r="E47" s="1374" t="s">
        <v>119</v>
      </c>
      <c r="F47" s="1350" t="s">
        <v>120</v>
      </c>
      <c r="G47" s="1370">
        <v>45981</v>
      </c>
      <c r="H47" s="1344" t="s">
        <v>8</v>
      </c>
      <c r="I47" s="124" t="s">
        <v>8</v>
      </c>
    </row>
    <row r="48" spans="1:9">
      <c r="A48" s="124" t="s">
        <v>8</v>
      </c>
      <c r="B48" s="1351" t="s">
        <v>8</v>
      </c>
      <c r="C48" s="2112" t="s">
        <v>8</v>
      </c>
      <c r="D48" s="2112" t="s">
        <v>8</v>
      </c>
      <c r="E48" s="2115" t="s">
        <v>8</v>
      </c>
      <c r="F48" s="2112" t="s">
        <v>8</v>
      </c>
      <c r="G48" s="2116" t="s">
        <v>8</v>
      </c>
      <c r="H48" s="1352" t="s">
        <v>8</v>
      </c>
      <c r="I48" s="124" t="s">
        <v>8</v>
      </c>
    </row>
    <row r="49" spans="1:9">
      <c r="A49" s="124" t="s">
        <v>8</v>
      </c>
      <c r="B49" s="1351" t="s">
        <v>8</v>
      </c>
      <c r="C49" s="2112" t="s">
        <v>8</v>
      </c>
      <c r="D49" s="2112" t="s">
        <v>8</v>
      </c>
      <c r="E49" s="2115" t="s">
        <v>8</v>
      </c>
      <c r="F49" s="2112" t="s">
        <v>8</v>
      </c>
      <c r="G49" s="2116" t="s">
        <v>8</v>
      </c>
      <c r="H49" s="1352" t="s">
        <v>8</v>
      </c>
      <c r="I49" s="124" t="s">
        <v>8</v>
      </c>
    </row>
    <row r="50" spans="1:9">
      <c r="A50" s="124" t="s">
        <v>8</v>
      </c>
      <c r="B50" s="1351" t="s">
        <v>8</v>
      </c>
      <c r="C50" s="2112" t="s">
        <v>8</v>
      </c>
      <c r="D50" s="2114" t="s">
        <v>121</v>
      </c>
      <c r="E50" s="2113" t="s">
        <v>8</v>
      </c>
      <c r="F50" s="2114" t="s">
        <v>120</v>
      </c>
      <c r="G50" s="2116" t="s">
        <v>8</v>
      </c>
      <c r="H50" s="1352" t="s">
        <v>8</v>
      </c>
      <c r="I50" s="124" t="s">
        <v>8</v>
      </c>
    </row>
    <row r="51" spans="1:9">
      <c r="B51" s="180"/>
      <c r="C51" s="1919"/>
      <c r="D51" s="1919"/>
      <c r="E51" s="1919"/>
      <c r="F51" s="1919"/>
      <c r="G51" s="1919"/>
      <c r="H51" s="181"/>
    </row>
    <row r="52" spans="1:9" ht="15.75" thickBot="1">
      <c r="B52" s="182"/>
      <c r="C52" s="183"/>
      <c r="D52" s="183"/>
      <c r="E52" s="183"/>
      <c r="F52" s="183"/>
      <c r="G52" s="183"/>
      <c r="H52" s="184"/>
    </row>
    <row r="53" spans="1:9" ht="15.75" thickTop="1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topLeftCell="A14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1.5703125" bestFit="1" customWidth="1"/>
    <col min="5" max="5" width="24.5703125" bestFit="1" customWidth="1"/>
    <col min="6" max="6" width="15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29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196</v>
      </c>
    </row>
    <row r="2" spans="1:9">
      <c r="A2" s="127" t="s">
        <v>8</v>
      </c>
      <c r="B2" s="127" t="s">
        <v>8</v>
      </c>
      <c r="C2" s="127" t="s">
        <v>8</v>
      </c>
      <c r="D2" s="127" t="s">
        <v>8</v>
      </c>
      <c r="E2" s="127" t="s">
        <v>8</v>
      </c>
      <c r="F2" s="127" t="s">
        <v>8</v>
      </c>
      <c r="G2" s="127" t="s">
        <v>8</v>
      </c>
      <c r="H2" s="127" t="s">
        <v>8</v>
      </c>
      <c r="I2" s="127" t="s">
        <v>8</v>
      </c>
    </row>
    <row r="3" spans="1:9" ht="15.75" thickBot="1">
      <c r="A3" s="127" t="s">
        <v>8</v>
      </c>
      <c r="B3" s="127" t="s">
        <v>8</v>
      </c>
      <c r="C3" s="127" t="s">
        <v>8</v>
      </c>
      <c r="D3" s="127" t="s">
        <v>8</v>
      </c>
      <c r="E3" s="127" t="s">
        <v>8</v>
      </c>
      <c r="F3" s="127" t="s">
        <v>8</v>
      </c>
      <c r="G3" s="127" t="s">
        <v>8</v>
      </c>
      <c r="H3" s="127" t="s">
        <v>8</v>
      </c>
      <c r="I3" s="127" t="s">
        <v>8</v>
      </c>
    </row>
    <row r="4" spans="1:9" ht="16.5" thickTop="1" thickBot="1">
      <c r="A4" s="127" t="s">
        <v>8</v>
      </c>
      <c r="B4" s="127" t="s">
        <v>14</v>
      </c>
      <c r="C4" s="127" t="s">
        <v>8</v>
      </c>
      <c r="D4" s="1376" t="s">
        <v>15</v>
      </c>
      <c r="E4" s="127" t="s">
        <v>16</v>
      </c>
      <c r="F4" s="1376" t="s">
        <v>286</v>
      </c>
      <c r="G4" s="127" t="s">
        <v>8</v>
      </c>
      <c r="H4" s="127" t="s">
        <v>8</v>
      </c>
      <c r="I4" s="127" t="s">
        <v>8</v>
      </c>
    </row>
    <row r="5" spans="1:9" ht="16.5" thickTop="1" thickBot="1">
      <c r="A5" s="127" t="s">
        <v>8</v>
      </c>
      <c r="B5" s="127" t="s">
        <v>8</v>
      </c>
      <c r="C5" s="127" t="s">
        <v>8</v>
      </c>
      <c r="D5" s="127" t="s">
        <v>8</v>
      </c>
      <c r="E5" s="127" t="s">
        <v>8</v>
      </c>
      <c r="F5" s="127" t="s">
        <v>8</v>
      </c>
      <c r="G5" s="127" t="s">
        <v>8</v>
      </c>
      <c r="H5" s="127" t="s">
        <v>8</v>
      </c>
      <c r="I5" s="127" t="s">
        <v>8</v>
      </c>
    </row>
    <row r="6" spans="1:9" ht="16.5" thickTop="1" thickBot="1">
      <c r="A6" s="127" t="s">
        <v>8</v>
      </c>
      <c r="B6" s="127" t="s">
        <v>18</v>
      </c>
      <c r="C6" s="127" t="s">
        <v>8</v>
      </c>
      <c r="D6" s="1376" t="s">
        <v>19</v>
      </c>
      <c r="E6" s="127" t="s">
        <v>20</v>
      </c>
      <c r="F6" s="1376" t="s">
        <v>287</v>
      </c>
      <c r="G6" s="127" t="s">
        <v>8</v>
      </c>
      <c r="H6" s="127" t="s">
        <v>8</v>
      </c>
      <c r="I6" s="127" t="s">
        <v>8</v>
      </c>
    </row>
    <row r="7" spans="1:9" ht="16.5" thickTop="1" thickBot="1">
      <c r="A7" s="127" t="s">
        <v>8</v>
      </c>
      <c r="B7" s="127" t="s">
        <v>8</v>
      </c>
      <c r="C7" s="127" t="s">
        <v>8</v>
      </c>
      <c r="D7" s="127" t="s">
        <v>8</v>
      </c>
      <c r="E7" s="127" t="s">
        <v>8</v>
      </c>
      <c r="F7" s="127" t="s">
        <v>8</v>
      </c>
      <c r="G7" s="127" t="s">
        <v>8</v>
      </c>
      <c r="H7" s="127" t="s">
        <v>8</v>
      </c>
      <c r="I7" s="127" t="s">
        <v>8</v>
      </c>
    </row>
    <row r="8" spans="1:9" ht="16.5" thickTop="1" thickBot="1">
      <c r="A8" s="127" t="s">
        <v>8</v>
      </c>
      <c r="B8" s="127" t="s">
        <v>22</v>
      </c>
      <c r="C8" s="127" t="s">
        <v>8</v>
      </c>
      <c r="D8" s="1376" t="s">
        <v>11</v>
      </c>
      <c r="E8" s="127" t="s">
        <v>23</v>
      </c>
      <c r="F8" s="1376" t="s">
        <v>8</v>
      </c>
      <c r="G8" s="127" t="s">
        <v>8</v>
      </c>
      <c r="H8" s="127" t="s">
        <v>8</v>
      </c>
      <c r="I8" s="127" t="s">
        <v>8</v>
      </c>
    </row>
    <row r="9" spans="1:9" ht="16.5" thickTop="1" thickBot="1">
      <c r="A9" s="127" t="s">
        <v>8</v>
      </c>
      <c r="B9" s="127" t="s">
        <v>8</v>
      </c>
      <c r="C9" s="127" t="s">
        <v>8</v>
      </c>
      <c r="D9" s="127" t="s">
        <v>8</v>
      </c>
      <c r="E9" s="127" t="s">
        <v>8</v>
      </c>
      <c r="F9" s="127" t="s">
        <v>8</v>
      </c>
      <c r="G9" s="127" t="s">
        <v>8</v>
      </c>
      <c r="H9" s="127" t="s">
        <v>8</v>
      </c>
      <c r="I9" s="127" t="s">
        <v>8</v>
      </c>
    </row>
    <row r="10" spans="1:9" ht="16.5" thickTop="1" thickBot="1">
      <c r="A10" s="127" t="s">
        <v>8</v>
      </c>
      <c r="B10" s="127" t="s">
        <v>25</v>
      </c>
      <c r="C10" s="127" t="s">
        <v>8</v>
      </c>
      <c r="D10" s="1376" t="s">
        <v>26</v>
      </c>
      <c r="E10" s="127" t="s">
        <v>8</v>
      </c>
      <c r="F10" s="127" t="s">
        <v>8</v>
      </c>
      <c r="G10" s="127" t="s">
        <v>8</v>
      </c>
      <c r="H10" s="127" t="s">
        <v>8</v>
      </c>
      <c r="I10" s="127" t="s">
        <v>8</v>
      </c>
    </row>
    <row r="11" spans="1:9" ht="16.5" thickTop="1" thickBot="1">
      <c r="A11" s="127" t="s">
        <v>8</v>
      </c>
      <c r="B11" s="127" t="s">
        <v>8</v>
      </c>
      <c r="C11" s="127" t="s">
        <v>8</v>
      </c>
      <c r="D11" s="127" t="s">
        <v>8</v>
      </c>
      <c r="E11" s="127" t="s">
        <v>8</v>
      </c>
      <c r="F11" s="127" t="s">
        <v>8</v>
      </c>
      <c r="G11" s="127" t="s">
        <v>8</v>
      </c>
      <c r="H11" s="127" t="s">
        <v>8</v>
      </c>
      <c r="I11" s="127" t="s">
        <v>8</v>
      </c>
    </row>
    <row r="12" spans="1:9" ht="16.5" thickTop="1" thickBot="1">
      <c r="A12" s="127" t="s">
        <v>8</v>
      </c>
      <c r="B12" s="1377" t="s">
        <v>8</v>
      </c>
      <c r="C12" s="1378" t="s">
        <v>8</v>
      </c>
      <c r="D12" s="1378" t="s">
        <v>8</v>
      </c>
      <c r="E12" s="1378" t="s">
        <v>8</v>
      </c>
      <c r="F12" s="1378" t="s">
        <v>8</v>
      </c>
      <c r="G12" s="1378" t="s">
        <v>8</v>
      </c>
      <c r="H12" s="1379" t="s">
        <v>8</v>
      </c>
      <c r="I12" s="127" t="s">
        <v>8</v>
      </c>
    </row>
    <row r="13" spans="1:9" ht="16.5" thickTop="1" thickBot="1">
      <c r="A13" s="127" t="s">
        <v>8</v>
      </c>
      <c r="B13" s="1380" t="s">
        <v>8</v>
      </c>
      <c r="C13" s="1375" t="s">
        <v>11</v>
      </c>
      <c r="D13" s="1381" t="s">
        <v>28</v>
      </c>
      <c r="E13" s="1390">
        <v>411946.93</v>
      </c>
      <c r="F13" s="1381" t="s">
        <v>8</v>
      </c>
      <c r="G13" s="1381" t="s">
        <v>8</v>
      </c>
      <c r="H13" s="1382" t="s">
        <v>8</v>
      </c>
      <c r="I13" s="127" t="s">
        <v>29</v>
      </c>
    </row>
    <row r="14" spans="1:9" ht="16.5" thickTop="1" thickBot="1">
      <c r="A14" s="127" t="s">
        <v>8</v>
      </c>
      <c r="B14" s="127" t="s">
        <v>8</v>
      </c>
      <c r="C14" s="127" t="s">
        <v>8</v>
      </c>
      <c r="D14" s="127" t="s">
        <v>8</v>
      </c>
      <c r="E14" s="127" t="s">
        <v>8</v>
      </c>
      <c r="F14" s="127" t="s">
        <v>8</v>
      </c>
      <c r="G14" s="127" t="s">
        <v>8</v>
      </c>
      <c r="H14" s="127" t="s">
        <v>8</v>
      </c>
      <c r="I14" s="127" t="s">
        <v>8</v>
      </c>
    </row>
    <row r="15" spans="1:9" ht="16.5" thickTop="1" thickBot="1">
      <c r="A15" s="127" t="s">
        <v>8</v>
      </c>
      <c r="B15" s="1376" t="s">
        <v>30</v>
      </c>
      <c r="C15" s="1375" t="s">
        <v>31</v>
      </c>
      <c r="D15" s="1375" t="s">
        <v>32</v>
      </c>
      <c r="E15" s="1375" t="s">
        <v>33</v>
      </c>
      <c r="F15" s="1375" t="s">
        <v>34</v>
      </c>
      <c r="G15" s="1375" t="s">
        <v>35</v>
      </c>
      <c r="H15" s="1375" t="s">
        <v>36</v>
      </c>
      <c r="I15" s="127" t="s">
        <v>8</v>
      </c>
    </row>
    <row r="16" spans="1:9" ht="16.5" thickTop="1" thickBot="1">
      <c r="A16" s="127" t="s">
        <v>8</v>
      </c>
      <c r="B16" s="127" t="s">
        <v>8</v>
      </c>
      <c r="C16" s="127" t="s">
        <v>8</v>
      </c>
      <c r="D16" s="127" t="s">
        <v>8</v>
      </c>
      <c r="E16" s="127" t="s">
        <v>8</v>
      </c>
      <c r="F16" s="127" t="s">
        <v>8</v>
      </c>
      <c r="G16" s="127" t="s">
        <v>8</v>
      </c>
      <c r="H16" s="127" t="s">
        <v>8</v>
      </c>
      <c r="I16" s="127" t="s">
        <v>8</v>
      </c>
    </row>
    <row r="17" spans="1:9" ht="15.75" thickTop="1">
      <c r="A17" s="127" t="s">
        <v>8</v>
      </c>
      <c r="B17" s="1392" t="s">
        <v>8</v>
      </c>
      <c r="C17" s="1392" t="s">
        <v>8</v>
      </c>
      <c r="D17" s="1397" t="s">
        <v>277</v>
      </c>
      <c r="E17" s="1392" t="s">
        <v>8</v>
      </c>
      <c r="F17" s="1392" t="s">
        <v>8</v>
      </c>
      <c r="G17" s="1392" t="s">
        <v>8</v>
      </c>
      <c r="H17" s="1379" t="s">
        <v>8</v>
      </c>
      <c r="I17" s="127" t="s">
        <v>8</v>
      </c>
    </row>
    <row r="18" spans="1:9">
      <c r="A18" s="127" t="s">
        <v>8</v>
      </c>
      <c r="B18" s="1393" t="s">
        <v>8</v>
      </c>
      <c r="C18" s="1395" t="s">
        <v>8</v>
      </c>
      <c r="D18" s="1395" t="s">
        <v>8</v>
      </c>
      <c r="E18" s="1399" t="s">
        <v>8</v>
      </c>
      <c r="F18" s="1395" t="s">
        <v>8</v>
      </c>
      <c r="G18" s="1401" t="s">
        <v>8</v>
      </c>
      <c r="H18" s="1387" t="s">
        <v>8</v>
      </c>
      <c r="I18" s="127" t="s">
        <v>8</v>
      </c>
    </row>
    <row r="19" spans="1:9">
      <c r="A19" s="127" t="s">
        <v>8</v>
      </c>
      <c r="B19" s="1393" t="s">
        <v>8</v>
      </c>
      <c r="C19" s="1395" t="s">
        <v>8</v>
      </c>
      <c r="D19" s="1395" t="s">
        <v>8</v>
      </c>
      <c r="E19" s="1399" t="s">
        <v>8</v>
      </c>
      <c r="F19" s="1395" t="s">
        <v>8</v>
      </c>
      <c r="G19" s="1401" t="s">
        <v>8</v>
      </c>
      <c r="H19" s="1387" t="s">
        <v>8</v>
      </c>
      <c r="I19" s="127" t="s">
        <v>8</v>
      </c>
    </row>
    <row r="20" spans="1:9" ht="15.75" thickBot="1">
      <c r="A20" s="127" t="s">
        <v>8</v>
      </c>
      <c r="B20" s="1394" t="s">
        <v>8</v>
      </c>
      <c r="C20" s="1396" t="s">
        <v>8</v>
      </c>
      <c r="D20" s="1398" t="s">
        <v>51</v>
      </c>
      <c r="E20" s="1400">
        <f>SUM($E$18:$E$19)</f>
        <v>0</v>
      </c>
      <c r="F20" s="1396" t="s">
        <v>8</v>
      </c>
      <c r="G20" s="1402" t="s">
        <v>8</v>
      </c>
      <c r="H20" s="1382" t="s">
        <v>8</v>
      </c>
      <c r="I20" s="127" t="s">
        <v>8</v>
      </c>
    </row>
    <row r="21" spans="1:9" ht="15.75" thickTop="1">
      <c r="A21" s="127" t="s">
        <v>8</v>
      </c>
      <c r="B21" s="1384" t="s">
        <v>8</v>
      </c>
      <c r="C21" s="127" t="s">
        <v>8</v>
      </c>
      <c r="D21" s="127" t="s">
        <v>8</v>
      </c>
      <c r="E21" s="128" t="s">
        <v>8</v>
      </c>
      <c r="F21" s="127" t="s">
        <v>8</v>
      </c>
      <c r="G21" s="1383" t="s">
        <v>8</v>
      </c>
      <c r="H21" s="127" t="s">
        <v>8</v>
      </c>
      <c r="I21" s="127" t="s">
        <v>8</v>
      </c>
    </row>
    <row r="22" spans="1:9" ht="15.75" thickBot="1">
      <c r="A22" s="127" t="s">
        <v>8</v>
      </c>
      <c r="B22" s="1384" t="s">
        <v>8</v>
      </c>
      <c r="C22" s="127" t="s">
        <v>8</v>
      </c>
      <c r="D22" s="127" t="s">
        <v>8</v>
      </c>
      <c r="E22" s="128" t="s">
        <v>8</v>
      </c>
      <c r="F22" s="127" t="s">
        <v>8</v>
      </c>
      <c r="G22" s="1383" t="s">
        <v>8</v>
      </c>
      <c r="H22" s="127" t="s">
        <v>8</v>
      </c>
      <c r="I22" s="127" t="s">
        <v>8</v>
      </c>
    </row>
    <row r="23" spans="1:9" ht="15.75" thickTop="1">
      <c r="A23" s="127" t="s">
        <v>8</v>
      </c>
      <c r="B23" s="1406" t="s">
        <v>8</v>
      </c>
      <c r="C23" s="1392" t="s">
        <v>8</v>
      </c>
      <c r="D23" s="1397" t="s">
        <v>278</v>
      </c>
      <c r="E23" s="1407" t="s">
        <v>8</v>
      </c>
      <c r="F23" s="1392" t="s">
        <v>8</v>
      </c>
      <c r="G23" s="1408" t="s">
        <v>8</v>
      </c>
      <c r="H23" s="1379" t="s">
        <v>8</v>
      </c>
      <c r="I23" s="127" t="s">
        <v>8</v>
      </c>
    </row>
    <row r="24" spans="1:9">
      <c r="A24" s="127" t="s">
        <v>8</v>
      </c>
      <c r="B24" s="1393" t="s">
        <v>8</v>
      </c>
      <c r="C24" s="1395" t="s">
        <v>8</v>
      </c>
      <c r="D24" s="1395" t="s">
        <v>8</v>
      </c>
      <c r="E24" s="1399" t="s">
        <v>8</v>
      </c>
      <c r="F24" s="1395" t="s">
        <v>8</v>
      </c>
      <c r="G24" s="1401" t="s">
        <v>8</v>
      </c>
      <c r="H24" s="1387" t="s">
        <v>8</v>
      </c>
      <c r="I24" s="127" t="s">
        <v>8</v>
      </c>
    </row>
    <row r="25" spans="1:9">
      <c r="A25" s="127" t="s">
        <v>8</v>
      </c>
      <c r="B25" s="1393" t="s">
        <v>8</v>
      </c>
      <c r="C25" s="1395" t="s">
        <v>8</v>
      </c>
      <c r="D25" s="1395" t="s">
        <v>8</v>
      </c>
      <c r="E25" s="1399" t="s">
        <v>8</v>
      </c>
      <c r="F25" s="1395" t="s">
        <v>8</v>
      </c>
      <c r="G25" s="1401" t="s">
        <v>8</v>
      </c>
      <c r="H25" s="1387" t="s">
        <v>8</v>
      </c>
      <c r="I25" s="127" t="s">
        <v>8</v>
      </c>
    </row>
    <row r="26" spans="1:9" ht="15.75" thickBot="1">
      <c r="A26" s="127" t="s">
        <v>8</v>
      </c>
      <c r="B26" s="1394" t="s">
        <v>8</v>
      </c>
      <c r="C26" s="1396" t="s">
        <v>8</v>
      </c>
      <c r="D26" s="1398" t="s">
        <v>51</v>
      </c>
      <c r="E26" s="1400">
        <f>SUM($E$24:$E$25)</f>
        <v>0</v>
      </c>
      <c r="F26" s="1396" t="s">
        <v>8</v>
      </c>
      <c r="G26" s="1402" t="s">
        <v>8</v>
      </c>
      <c r="H26" s="1382" t="s">
        <v>8</v>
      </c>
      <c r="I26" s="127" t="s">
        <v>8</v>
      </c>
    </row>
    <row r="27" spans="1:9" ht="15.75" thickTop="1">
      <c r="A27" s="127" t="s">
        <v>8</v>
      </c>
      <c r="B27" s="1384" t="s">
        <v>8</v>
      </c>
      <c r="C27" s="127" t="s">
        <v>8</v>
      </c>
      <c r="D27" s="127" t="s">
        <v>8</v>
      </c>
      <c r="E27" s="128" t="s">
        <v>8</v>
      </c>
      <c r="F27" s="127" t="s">
        <v>8</v>
      </c>
      <c r="G27" s="1383" t="s">
        <v>8</v>
      </c>
      <c r="H27" s="127" t="s">
        <v>8</v>
      </c>
      <c r="I27" s="127" t="s">
        <v>8</v>
      </c>
    </row>
    <row r="28" spans="1:9" ht="15.75" thickBot="1">
      <c r="A28" s="127" t="s">
        <v>8</v>
      </c>
      <c r="B28" s="1384" t="s">
        <v>8</v>
      </c>
      <c r="C28" s="127" t="s">
        <v>8</v>
      </c>
      <c r="D28" s="127" t="s">
        <v>8</v>
      </c>
      <c r="E28" s="128" t="s">
        <v>8</v>
      </c>
      <c r="F28" s="127" t="s">
        <v>8</v>
      </c>
      <c r="G28" s="1383" t="s">
        <v>8</v>
      </c>
      <c r="H28" s="127" t="s">
        <v>8</v>
      </c>
      <c r="I28" s="127" t="s">
        <v>8</v>
      </c>
    </row>
    <row r="29" spans="1:9" ht="15.75" thickTop="1">
      <c r="A29" s="127" t="s">
        <v>8</v>
      </c>
      <c r="B29" s="1406" t="s">
        <v>8</v>
      </c>
      <c r="C29" s="1392" t="s">
        <v>8</v>
      </c>
      <c r="D29" s="1397" t="s">
        <v>279</v>
      </c>
      <c r="E29" s="1407" t="s">
        <v>8</v>
      </c>
      <c r="F29" s="1392" t="s">
        <v>8</v>
      </c>
      <c r="G29" s="1408" t="s">
        <v>8</v>
      </c>
      <c r="H29" s="1379" t="s">
        <v>8</v>
      </c>
      <c r="I29" s="127" t="s">
        <v>8</v>
      </c>
    </row>
    <row r="30" spans="1:9">
      <c r="A30" s="127" t="s">
        <v>8</v>
      </c>
      <c r="B30" s="1393" t="s">
        <v>8</v>
      </c>
      <c r="C30" s="1395" t="s">
        <v>8</v>
      </c>
      <c r="D30" s="1395" t="s">
        <v>8</v>
      </c>
      <c r="E30" s="1399" t="s">
        <v>8</v>
      </c>
      <c r="F30" s="1395" t="s">
        <v>8</v>
      </c>
      <c r="G30" s="1401" t="s">
        <v>8</v>
      </c>
      <c r="H30" s="1387" t="s">
        <v>8</v>
      </c>
      <c r="I30" s="127" t="s">
        <v>8</v>
      </c>
    </row>
    <row r="31" spans="1:9">
      <c r="A31" s="127" t="s">
        <v>8</v>
      </c>
      <c r="B31" s="1393" t="s">
        <v>8</v>
      </c>
      <c r="C31" s="1395" t="s">
        <v>8</v>
      </c>
      <c r="D31" s="1395" t="s">
        <v>8</v>
      </c>
      <c r="E31" s="1399" t="s">
        <v>8</v>
      </c>
      <c r="F31" s="1395" t="s">
        <v>8</v>
      </c>
      <c r="G31" s="1401" t="s">
        <v>8</v>
      </c>
      <c r="H31" s="1387" t="s">
        <v>8</v>
      </c>
      <c r="I31" s="127" t="s">
        <v>8</v>
      </c>
    </row>
    <row r="32" spans="1:9" ht="15.75" thickBot="1">
      <c r="A32" s="127" t="s">
        <v>8</v>
      </c>
      <c r="B32" s="1394" t="s">
        <v>8</v>
      </c>
      <c r="C32" s="1396" t="s">
        <v>8</v>
      </c>
      <c r="D32" s="1398" t="s">
        <v>51</v>
      </c>
      <c r="E32" s="1400">
        <f>SUM($E$30:$E$31)</f>
        <v>0</v>
      </c>
      <c r="F32" s="1396" t="s">
        <v>8</v>
      </c>
      <c r="G32" s="1402" t="s">
        <v>8</v>
      </c>
      <c r="H32" s="1382" t="s">
        <v>8</v>
      </c>
      <c r="I32" s="127" t="s">
        <v>8</v>
      </c>
    </row>
    <row r="33" spans="1:9" ht="15.75" thickTop="1">
      <c r="A33" s="127" t="s">
        <v>8</v>
      </c>
      <c r="B33" s="1384" t="s">
        <v>8</v>
      </c>
      <c r="C33" s="127" t="s">
        <v>8</v>
      </c>
      <c r="D33" s="127" t="s">
        <v>8</v>
      </c>
      <c r="E33" s="128" t="s">
        <v>8</v>
      </c>
      <c r="F33" s="127" t="s">
        <v>8</v>
      </c>
      <c r="G33" s="1383" t="s">
        <v>8</v>
      </c>
      <c r="H33" s="127" t="s">
        <v>8</v>
      </c>
      <c r="I33" s="127" t="s">
        <v>8</v>
      </c>
    </row>
    <row r="34" spans="1:9" ht="15.75" thickBot="1">
      <c r="A34" s="127" t="s">
        <v>8</v>
      </c>
      <c r="B34" s="1384" t="s">
        <v>8</v>
      </c>
      <c r="C34" s="127" t="s">
        <v>8</v>
      </c>
      <c r="D34" s="127" t="s">
        <v>8</v>
      </c>
      <c r="E34" s="128" t="s">
        <v>8</v>
      </c>
      <c r="F34" s="127" t="s">
        <v>8</v>
      </c>
      <c r="G34" s="1383" t="s">
        <v>8</v>
      </c>
      <c r="H34" s="127" t="s">
        <v>8</v>
      </c>
      <c r="I34" s="127" t="s">
        <v>8</v>
      </c>
    </row>
    <row r="35" spans="1:9" ht="15.75" thickTop="1">
      <c r="A35" s="127" t="s">
        <v>8</v>
      </c>
      <c r="B35" s="1406" t="s">
        <v>8</v>
      </c>
      <c r="C35" s="1392" t="s">
        <v>8</v>
      </c>
      <c r="D35" s="1397" t="s">
        <v>285</v>
      </c>
      <c r="E35" s="1407" t="s">
        <v>8</v>
      </c>
      <c r="F35" s="1392" t="s">
        <v>8</v>
      </c>
      <c r="G35" s="1408" t="s">
        <v>8</v>
      </c>
      <c r="H35" s="1379" t="s">
        <v>8</v>
      </c>
      <c r="I35" s="127" t="s">
        <v>8</v>
      </c>
    </row>
    <row r="36" spans="1:9">
      <c r="A36" s="127" t="s">
        <v>8</v>
      </c>
      <c r="B36" s="1393" t="s">
        <v>8</v>
      </c>
      <c r="C36" s="1395" t="s">
        <v>8</v>
      </c>
      <c r="D36" s="1395" t="s">
        <v>8</v>
      </c>
      <c r="E36" s="1399" t="s">
        <v>8</v>
      </c>
      <c r="F36" s="1395" t="s">
        <v>8</v>
      </c>
      <c r="G36" s="1401" t="s">
        <v>8</v>
      </c>
      <c r="H36" s="1387" t="s">
        <v>8</v>
      </c>
      <c r="I36" s="127" t="s">
        <v>8</v>
      </c>
    </row>
    <row r="37" spans="1:9">
      <c r="A37" s="127" t="s">
        <v>8</v>
      </c>
      <c r="B37" s="1393" t="s">
        <v>8</v>
      </c>
      <c r="C37" s="1395" t="s">
        <v>8</v>
      </c>
      <c r="D37" s="1395" t="s">
        <v>8</v>
      </c>
      <c r="E37" s="1399" t="s">
        <v>8</v>
      </c>
      <c r="F37" s="1395" t="s">
        <v>8</v>
      </c>
      <c r="G37" s="1401" t="s">
        <v>8</v>
      </c>
      <c r="H37" s="1387" t="s">
        <v>8</v>
      </c>
      <c r="I37" s="127" t="s">
        <v>8</v>
      </c>
    </row>
    <row r="38" spans="1:9" ht="15.75" thickBot="1">
      <c r="A38" s="127" t="s">
        <v>8</v>
      </c>
      <c r="B38" s="1394" t="s">
        <v>8</v>
      </c>
      <c r="C38" s="1396" t="s">
        <v>8</v>
      </c>
      <c r="D38" s="1398" t="s">
        <v>51</v>
      </c>
      <c r="E38" s="1400">
        <f>SUM($E$36:$E$37)</f>
        <v>0</v>
      </c>
      <c r="F38" s="1396" t="s">
        <v>8</v>
      </c>
      <c r="G38" s="1402" t="s">
        <v>8</v>
      </c>
      <c r="H38" s="1382" t="s">
        <v>8</v>
      </c>
      <c r="I38" s="127" t="s">
        <v>8</v>
      </c>
    </row>
    <row r="39" spans="1:9" ht="16.5" thickTop="1" thickBot="1">
      <c r="A39" s="127" t="s">
        <v>8</v>
      </c>
      <c r="B39" s="1384" t="s">
        <v>8</v>
      </c>
      <c r="C39" s="127" t="s">
        <v>8</v>
      </c>
      <c r="D39" s="127" t="s">
        <v>8</v>
      </c>
      <c r="E39" s="128" t="s">
        <v>8</v>
      </c>
      <c r="F39" s="127" t="s">
        <v>8</v>
      </c>
      <c r="G39" s="1383" t="s">
        <v>8</v>
      </c>
      <c r="H39" s="127" t="s">
        <v>8</v>
      </c>
      <c r="I39" s="127" t="s">
        <v>8</v>
      </c>
    </row>
    <row r="40" spans="1:9" ht="15.75" thickTop="1">
      <c r="A40" s="127" t="s">
        <v>8</v>
      </c>
      <c r="B40" s="1403" t="s">
        <v>8</v>
      </c>
      <c r="C40" s="1378" t="s">
        <v>8</v>
      </c>
      <c r="D40" s="1378" t="s">
        <v>8</v>
      </c>
      <c r="E40" s="1404" t="s">
        <v>8</v>
      </c>
      <c r="F40" s="1378" t="s">
        <v>8</v>
      </c>
      <c r="G40" s="1405" t="s">
        <v>8</v>
      </c>
      <c r="H40" s="1379" t="s">
        <v>8</v>
      </c>
      <c r="I40" s="127" t="s">
        <v>8</v>
      </c>
    </row>
    <row r="41" spans="1:9">
      <c r="A41" s="127" t="s">
        <v>8</v>
      </c>
      <c r="B41" s="1386" t="s">
        <v>8</v>
      </c>
      <c r="C41" s="2117" t="s">
        <v>8</v>
      </c>
      <c r="D41" s="2119" t="s">
        <v>114</v>
      </c>
      <c r="E41" s="2118">
        <f>ABS(E13+$E$20-$E$38+$E$26-$E$32)</f>
        <v>411946.93</v>
      </c>
      <c r="F41" s="2117" t="s">
        <v>8</v>
      </c>
      <c r="G41" s="2121" t="s">
        <v>8</v>
      </c>
      <c r="H41" s="1387" t="s">
        <v>8</v>
      </c>
      <c r="I41" s="127" t="s">
        <v>8</v>
      </c>
    </row>
    <row r="42" spans="1:9">
      <c r="A42" s="127" t="s">
        <v>8</v>
      </c>
      <c r="B42" s="1386" t="s">
        <v>8</v>
      </c>
      <c r="C42" s="2117" t="s">
        <v>8</v>
      </c>
      <c r="D42" s="2119" t="s">
        <v>115</v>
      </c>
      <c r="E42" s="2118">
        <v>411946.93</v>
      </c>
      <c r="F42" s="2117" t="s">
        <v>8</v>
      </c>
      <c r="G42" s="2121" t="s">
        <v>8</v>
      </c>
      <c r="H42" s="1387" t="s">
        <v>8</v>
      </c>
      <c r="I42" s="127" t="s">
        <v>29</v>
      </c>
    </row>
    <row r="43" spans="1:9" ht="15.75" thickBot="1">
      <c r="A43" s="127" t="s">
        <v>8</v>
      </c>
      <c r="B43" s="1388" t="s">
        <v>8</v>
      </c>
      <c r="C43" s="1381" t="s">
        <v>8</v>
      </c>
      <c r="D43" s="1389" t="s">
        <v>117</v>
      </c>
      <c r="E43" s="1390">
        <f>$E$42-$E$41</f>
        <v>0</v>
      </c>
      <c r="F43" s="1381" t="s">
        <v>8</v>
      </c>
      <c r="G43" s="1391" t="s">
        <v>8</v>
      </c>
      <c r="H43" s="1382" t="s">
        <v>8</v>
      </c>
      <c r="I43" s="127" t="s">
        <v>8</v>
      </c>
    </row>
    <row r="44" spans="1:9" ht="16.5" thickTop="1" thickBot="1">
      <c r="A44" s="127" t="s">
        <v>8</v>
      </c>
      <c r="B44" s="1384" t="s">
        <v>8</v>
      </c>
      <c r="C44" s="127" t="s">
        <v>8</v>
      </c>
      <c r="D44" s="127" t="s">
        <v>8</v>
      </c>
      <c r="E44" s="128" t="s">
        <v>8</v>
      </c>
      <c r="F44" s="127" t="s">
        <v>8</v>
      </c>
      <c r="G44" s="1383" t="s">
        <v>8</v>
      </c>
      <c r="H44" s="127" t="s">
        <v>8</v>
      </c>
      <c r="I44" s="127" t="s">
        <v>8</v>
      </c>
    </row>
    <row r="45" spans="1:9" ht="15.75" thickTop="1">
      <c r="A45" s="127" t="s">
        <v>8</v>
      </c>
      <c r="B45" s="1403" t="s">
        <v>8</v>
      </c>
      <c r="C45" s="1378" t="s">
        <v>8</v>
      </c>
      <c r="D45" s="1385" t="s">
        <v>118</v>
      </c>
      <c r="E45" s="1409" t="s">
        <v>119</v>
      </c>
      <c r="F45" s="1385" t="s">
        <v>120</v>
      </c>
      <c r="G45" s="1405">
        <v>45981</v>
      </c>
      <c r="H45" s="1379" t="s">
        <v>8</v>
      </c>
      <c r="I45" s="127" t="s">
        <v>8</v>
      </c>
    </row>
    <row r="46" spans="1:9">
      <c r="A46" s="127" t="s">
        <v>8</v>
      </c>
      <c r="B46" s="1386" t="s">
        <v>8</v>
      </c>
      <c r="C46" s="2117" t="s">
        <v>8</v>
      </c>
      <c r="D46" s="2117" t="s">
        <v>8</v>
      </c>
      <c r="E46" s="2120" t="s">
        <v>8</v>
      </c>
      <c r="F46" s="2117" t="s">
        <v>8</v>
      </c>
      <c r="G46" s="2121" t="s">
        <v>8</v>
      </c>
      <c r="H46" s="1387" t="s">
        <v>8</v>
      </c>
      <c r="I46" s="127" t="s">
        <v>8</v>
      </c>
    </row>
    <row r="47" spans="1:9">
      <c r="A47" s="127" t="s">
        <v>8</v>
      </c>
      <c r="B47" s="1386" t="s">
        <v>8</v>
      </c>
      <c r="C47" s="2117" t="s">
        <v>8</v>
      </c>
      <c r="D47" s="2117" t="s">
        <v>8</v>
      </c>
      <c r="E47" s="2120" t="s">
        <v>8</v>
      </c>
      <c r="F47" s="2117" t="s">
        <v>8</v>
      </c>
      <c r="G47" s="2121" t="s">
        <v>8</v>
      </c>
      <c r="H47" s="1387" t="s">
        <v>8</v>
      </c>
      <c r="I47" s="127" t="s">
        <v>8</v>
      </c>
    </row>
    <row r="48" spans="1:9">
      <c r="A48" s="127" t="s">
        <v>8</v>
      </c>
      <c r="B48" s="1386" t="s">
        <v>8</v>
      </c>
      <c r="C48" s="2117" t="s">
        <v>8</v>
      </c>
      <c r="D48" s="2119" t="s">
        <v>121</v>
      </c>
      <c r="E48" s="2118" t="s">
        <v>8</v>
      </c>
      <c r="F48" s="2119" t="s">
        <v>120</v>
      </c>
      <c r="G48" s="2121" t="s">
        <v>8</v>
      </c>
      <c r="H48" s="1387" t="s">
        <v>8</v>
      </c>
      <c r="I48" s="127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showGridLines="0" topLeftCell="A29" workbookViewId="0">
      <selection activeCell="F46" sqref="F46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2.28515625" bestFit="1" customWidth="1"/>
    <col min="5" max="5" width="24.5703125" bestFit="1" customWidth="1"/>
    <col min="6" max="6" width="51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32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196</v>
      </c>
    </row>
    <row r="2" spans="1:9">
      <c r="A2" s="130" t="s">
        <v>8</v>
      </c>
      <c r="B2" s="130" t="s">
        <v>8</v>
      </c>
      <c r="C2" s="130" t="s">
        <v>8</v>
      </c>
      <c r="D2" s="130" t="s">
        <v>8</v>
      </c>
      <c r="E2" s="130" t="s">
        <v>8</v>
      </c>
      <c r="F2" s="130" t="s">
        <v>8</v>
      </c>
      <c r="G2" s="130" t="s">
        <v>8</v>
      </c>
      <c r="H2" s="130" t="s">
        <v>8</v>
      </c>
      <c r="I2" s="130" t="s">
        <v>8</v>
      </c>
    </row>
    <row r="3" spans="1:9" ht="15.75" thickBot="1">
      <c r="A3" s="130" t="s">
        <v>8</v>
      </c>
      <c r="B3" s="130" t="s">
        <v>8</v>
      </c>
      <c r="C3" s="130" t="s">
        <v>8</v>
      </c>
      <c r="D3" s="130" t="s">
        <v>8</v>
      </c>
      <c r="E3" s="130" t="s">
        <v>8</v>
      </c>
      <c r="F3" s="130" t="s">
        <v>8</v>
      </c>
      <c r="G3" s="130" t="s">
        <v>8</v>
      </c>
      <c r="H3" s="130" t="s">
        <v>8</v>
      </c>
      <c r="I3" s="130" t="s">
        <v>8</v>
      </c>
    </row>
    <row r="4" spans="1:9" ht="16.5" thickTop="1" thickBot="1">
      <c r="A4" s="130" t="s">
        <v>8</v>
      </c>
      <c r="B4" s="130" t="s">
        <v>14</v>
      </c>
      <c r="C4" s="130" t="s">
        <v>8</v>
      </c>
      <c r="D4" s="1411" t="s">
        <v>15</v>
      </c>
      <c r="E4" s="130" t="s">
        <v>16</v>
      </c>
      <c r="F4" s="1411" t="s">
        <v>288</v>
      </c>
      <c r="G4" s="130" t="s">
        <v>8</v>
      </c>
      <c r="H4" s="130" t="s">
        <v>8</v>
      </c>
      <c r="I4" s="130" t="s">
        <v>8</v>
      </c>
    </row>
    <row r="5" spans="1:9" ht="16.5" thickTop="1" thickBot="1">
      <c r="A5" s="130" t="s">
        <v>8</v>
      </c>
      <c r="B5" s="130" t="s">
        <v>8</v>
      </c>
      <c r="C5" s="130" t="s">
        <v>8</v>
      </c>
      <c r="D5" s="130" t="s">
        <v>8</v>
      </c>
      <c r="E5" s="130" t="s">
        <v>8</v>
      </c>
      <c r="F5" s="130" t="s">
        <v>8</v>
      </c>
      <c r="G5" s="130" t="s">
        <v>8</v>
      </c>
      <c r="H5" s="130" t="s">
        <v>8</v>
      </c>
      <c r="I5" s="130" t="s">
        <v>8</v>
      </c>
    </row>
    <row r="6" spans="1:9" ht="16.5" thickTop="1" thickBot="1">
      <c r="A6" s="130" t="s">
        <v>8</v>
      </c>
      <c r="B6" s="130" t="s">
        <v>18</v>
      </c>
      <c r="C6" s="130" t="s">
        <v>8</v>
      </c>
      <c r="D6" s="1411" t="s">
        <v>19</v>
      </c>
      <c r="E6" s="130" t="s">
        <v>20</v>
      </c>
      <c r="F6" s="1411" t="s">
        <v>289</v>
      </c>
      <c r="G6" s="130" t="s">
        <v>8</v>
      </c>
      <c r="H6" s="130" t="s">
        <v>8</v>
      </c>
      <c r="I6" s="130" t="s">
        <v>8</v>
      </c>
    </row>
    <row r="7" spans="1:9" ht="16.5" thickTop="1" thickBot="1">
      <c r="A7" s="130" t="s">
        <v>8</v>
      </c>
      <c r="B7" s="130" t="s">
        <v>8</v>
      </c>
      <c r="C7" s="130" t="s">
        <v>8</v>
      </c>
      <c r="D7" s="130" t="s">
        <v>8</v>
      </c>
      <c r="E7" s="130" t="s">
        <v>8</v>
      </c>
      <c r="F7" s="130" t="s">
        <v>8</v>
      </c>
      <c r="G7" s="130" t="s">
        <v>8</v>
      </c>
      <c r="H7" s="130" t="s">
        <v>8</v>
      </c>
      <c r="I7" s="130" t="s">
        <v>8</v>
      </c>
    </row>
    <row r="8" spans="1:9" ht="16.5" thickTop="1" thickBot="1">
      <c r="A8" s="130" t="s">
        <v>8</v>
      </c>
      <c r="B8" s="130" t="s">
        <v>22</v>
      </c>
      <c r="C8" s="130" t="s">
        <v>8</v>
      </c>
      <c r="D8" s="1411" t="s">
        <v>11</v>
      </c>
      <c r="E8" s="130" t="s">
        <v>23</v>
      </c>
      <c r="F8" s="1411" t="s">
        <v>290</v>
      </c>
      <c r="G8" s="130" t="s">
        <v>8</v>
      </c>
      <c r="H8" s="130" t="s">
        <v>8</v>
      </c>
      <c r="I8" s="130" t="s">
        <v>8</v>
      </c>
    </row>
    <row r="9" spans="1:9" ht="16.5" thickTop="1" thickBot="1">
      <c r="A9" s="130" t="s">
        <v>8</v>
      </c>
      <c r="B9" s="130" t="s">
        <v>8</v>
      </c>
      <c r="C9" s="130" t="s">
        <v>8</v>
      </c>
      <c r="D9" s="130" t="s">
        <v>8</v>
      </c>
      <c r="E9" s="130" t="s">
        <v>8</v>
      </c>
      <c r="F9" s="130" t="s">
        <v>8</v>
      </c>
      <c r="G9" s="130" t="s">
        <v>8</v>
      </c>
      <c r="H9" s="130" t="s">
        <v>8</v>
      </c>
      <c r="I9" s="130" t="s">
        <v>8</v>
      </c>
    </row>
    <row r="10" spans="1:9" ht="16.5" thickTop="1" thickBot="1">
      <c r="A10" s="130" t="s">
        <v>8</v>
      </c>
      <c r="B10" s="130" t="s">
        <v>25</v>
      </c>
      <c r="C10" s="130" t="s">
        <v>8</v>
      </c>
      <c r="D10" s="1411" t="s">
        <v>26</v>
      </c>
      <c r="E10" s="130" t="s">
        <v>8</v>
      </c>
      <c r="F10" s="130" t="s">
        <v>8</v>
      </c>
      <c r="G10" s="130" t="s">
        <v>8</v>
      </c>
      <c r="H10" s="130" t="s">
        <v>8</v>
      </c>
      <c r="I10" s="130" t="s">
        <v>8</v>
      </c>
    </row>
    <row r="11" spans="1:9" ht="16.5" thickTop="1" thickBot="1">
      <c r="A11" s="130" t="s">
        <v>8</v>
      </c>
      <c r="B11" s="130" t="s">
        <v>8</v>
      </c>
      <c r="C11" s="130" t="s">
        <v>8</v>
      </c>
      <c r="D11" s="130" t="s">
        <v>8</v>
      </c>
      <c r="E11" s="130" t="s">
        <v>8</v>
      </c>
      <c r="F11" s="130" t="s">
        <v>8</v>
      </c>
      <c r="G11" s="130" t="s">
        <v>8</v>
      </c>
      <c r="H11" s="130" t="s">
        <v>8</v>
      </c>
      <c r="I11" s="130" t="s">
        <v>8</v>
      </c>
    </row>
    <row r="12" spans="1:9" ht="16.5" thickTop="1" thickBot="1">
      <c r="A12" s="130" t="s">
        <v>8</v>
      </c>
      <c r="B12" s="1412" t="s">
        <v>8</v>
      </c>
      <c r="C12" s="1413" t="s">
        <v>8</v>
      </c>
      <c r="D12" s="1413" t="s">
        <v>8</v>
      </c>
      <c r="E12" s="1413" t="s">
        <v>8</v>
      </c>
      <c r="F12" s="1413" t="s">
        <v>8</v>
      </c>
      <c r="G12" s="1413" t="s">
        <v>8</v>
      </c>
      <c r="H12" s="1414" t="s">
        <v>8</v>
      </c>
      <c r="I12" s="130" t="s">
        <v>8</v>
      </c>
    </row>
    <row r="13" spans="1:9" ht="16.5" thickTop="1" thickBot="1">
      <c r="A13" s="130" t="s">
        <v>8</v>
      </c>
      <c r="B13" s="1415" t="s">
        <v>8</v>
      </c>
      <c r="C13" s="1410" t="s">
        <v>11</v>
      </c>
      <c r="D13" s="1416" t="s">
        <v>28</v>
      </c>
      <c r="E13" s="1425">
        <v>1369750.46</v>
      </c>
      <c r="F13" s="1416" t="s">
        <v>8</v>
      </c>
      <c r="G13" s="1416" t="s">
        <v>8</v>
      </c>
      <c r="H13" s="1417" t="s">
        <v>8</v>
      </c>
      <c r="I13" s="130" t="s">
        <v>29</v>
      </c>
    </row>
    <row r="14" spans="1:9" ht="16.5" thickTop="1" thickBot="1">
      <c r="A14" s="130" t="s">
        <v>8</v>
      </c>
      <c r="B14" s="130" t="s">
        <v>8</v>
      </c>
      <c r="C14" s="130" t="s">
        <v>8</v>
      </c>
      <c r="D14" s="130" t="s">
        <v>8</v>
      </c>
      <c r="E14" s="130" t="s">
        <v>8</v>
      </c>
      <c r="F14" s="130" t="s">
        <v>8</v>
      </c>
      <c r="G14" s="130" t="s">
        <v>8</v>
      </c>
      <c r="H14" s="130" t="s">
        <v>8</v>
      </c>
      <c r="I14" s="130" t="s">
        <v>8</v>
      </c>
    </row>
    <row r="15" spans="1:9" ht="16.5" thickTop="1" thickBot="1">
      <c r="A15" s="130" t="s">
        <v>8</v>
      </c>
      <c r="B15" s="1411" t="s">
        <v>30</v>
      </c>
      <c r="C15" s="1410" t="s">
        <v>31</v>
      </c>
      <c r="D15" s="1410" t="s">
        <v>32</v>
      </c>
      <c r="E15" s="1410" t="s">
        <v>33</v>
      </c>
      <c r="F15" s="1410" t="s">
        <v>34</v>
      </c>
      <c r="G15" s="1410" t="s">
        <v>35</v>
      </c>
      <c r="H15" s="1410" t="s">
        <v>36</v>
      </c>
      <c r="I15" s="130" t="s">
        <v>8</v>
      </c>
    </row>
    <row r="16" spans="1:9" ht="16.5" thickTop="1" thickBot="1">
      <c r="A16" s="130" t="s">
        <v>8</v>
      </c>
      <c r="B16" s="130" t="s">
        <v>8</v>
      </c>
      <c r="C16" s="130" t="s">
        <v>8</v>
      </c>
      <c r="D16" s="130" t="s">
        <v>8</v>
      </c>
      <c r="E16" s="130" t="s">
        <v>8</v>
      </c>
      <c r="F16" s="130" t="s">
        <v>8</v>
      </c>
      <c r="G16" s="130" t="s">
        <v>8</v>
      </c>
      <c r="H16" s="130" t="s">
        <v>8</v>
      </c>
      <c r="I16" s="130" t="s">
        <v>8</v>
      </c>
    </row>
    <row r="17" spans="1:9" ht="15.75" thickTop="1">
      <c r="A17" s="130" t="s">
        <v>8</v>
      </c>
      <c r="B17" s="1427" t="s">
        <v>8</v>
      </c>
      <c r="C17" s="1427" t="s">
        <v>8</v>
      </c>
      <c r="D17" s="1432" t="s">
        <v>291</v>
      </c>
      <c r="E17" s="1427" t="s">
        <v>8</v>
      </c>
      <c r="F17" s="1427" t="s">
        <v>8</v>
      </c>
      <c r="G17" s="1427" t="s">
        <v>8</v>
      </c>
      <c r="H17" s="1414" t="s">
        <v>8</v>
      </c>
      <c r="I17" s="130" t="s">
        <v>8</v>
      </c>
    </row>
    <row r="18" spans="1:9">
      <c r="A18" s="130" t="s">
        <v>8</v>
      </c>
      <c r="B18" s="1428">
        <v>1</v>
      </c>
      <c r="C18" s="1430" t="s">
        <v>27</v>
      </c>
      <c r="D18" s="1430" t="s">
        <v>292</v>
      </c>
      <c r="E18" s="1434">
        <v>520000</v>
      </c>
      <c r="F18" s="1430" t="s">
        <v>293</v>
      </c>
      <c r="G18" s="1436">
        <v>0</v>
      </c>
      <c r="H18" s="1422" t="s">
        <v>41</v>
      </c>
      <c r="I18" s="130" t="s">
        <v>8</v>
      </c>
    </row>
    <row r="19" spans="1:9">
      <c r="A19" s="130" t="s">
        <v>8</v>
      </c>
      <c r="B19" s="1428" t="s">
        <v>8</v>
      </c>
      <c r="C19" s="1430" t="s">
        <v>8</v>
      </c>
      <c r="D19" s="1430" t="s">
        <v>8</v>
      </c>
      <c r="E19" s="1434" t="s">
        <v>8</v>
      </c>
      <c r="F19" s="1430" t="s">
        <v>8</v>
      </c>
      <c r="G19" s="1436" t="s">
        <v>8</v>
      </c>
      <c r="H19" s="1422" t="s">
        <v>8</v>
      </c>
      <c r="I19" s="130" t="s">
        <v>8</v>
      </c>
    </row>
    <row r="20" spans="1:9" ht="15.75" thickBot="1">
      <c r="A20" s="130" t="s">
        <v>8</v>
      </c>
      <c r="B20" s="1429" t="s">
        <v>8</v>
      </c>
      <c r="C20" s="1431" t="s">
        <v>8</v>
      </c>
      <c r="D20" s="1433" t="s">
        <v>51</v>
      </c>
      <c r="E20" s="1435">
        <f>SUM($E$18:$E$19)</f>
        <v>520000</v>
      </c>
      <c r="F20" s="1431" t="s">
        <v>8</v>
      </c>
      <c r="G20" s="1437" t="s">
        <v>8</v>
      </c>
      <c r="H20" s="1417" t="s">
        <v>8</v>
      </c>
      <c r="I20" s="130" t="s">
        <v>8</v>
      </c>
    </row>
    <row r="21" spans="1:9" ht="15.75" thickTop="1">
      <c r="A21" s="130" t="s">
        <v>8</v>
      </c>
      <c r="B21" s="1419" t="s">
        <v>8</v>
      </c>
      <c r="C21" s="130" t="s">
        <v>8</v>
      </c>
      <c r="D21" s="130" t="s">
        <v>8</v>
      </c>
      <c r="E21" s="131" t="s">
        <v>8</v>
      </c>
      <c r="F21" s="130" t="s">
        <v>8</v>
      </c>
      <c r="G21" s="1418" t="s">
        <v>8</v>
      </c>
      <c r="H21" s="130" t="s">
        <v>8</v>
      </c>
      <c r="I21" s="130" t="s">
        <v>8</v>
      </c>
    </row>
    <row r="22" spans="1:9" ht="15.75" thickBot="1">
      <c r="A22" s="130" t="s">
        <v>8</v>
      </c>
      <c r="B22" s="1419" t="s">
        <v>8</v>
      </c>
      <c r="C22" s="130" t="s">
        <v>8</v>
      </c>
      <c r="D22" s="130" t="s">
        <v>8</v>
      </c>
      <c r="E22" s="131" t="s">
        <v>8</v>
      </c>
      <c r="F22" s="130" t="s">
        <v>8</v>
      </c>
      <c r="G22" s="1418" t="s">
        <v>8</v>
      </c>
      <c r="H22" s="130" t="s">
        <v>8</v>
      </c>
      <c r="I22" s="130" t="s">
        <v>8</v>
      </c>
    </row>
    <row r="23" spans="1:9" ht="15.75" thickTop="1">
      <c r="A23" s="130" t="s">
        <v>8</v>
      </c>
      <c r="B23" s="1441" t="s">
        <v>8</v>
      </c>
      <c r="C23" s="1427" t="s">
        <v>8</v>
      </c>
      <c r="D23" s="1432" t="s">
        <v>294</v>
      </c>
      <c r="E23" s="1442" t="s">
        <v>8</v>
      </c>
      <c r="F23" s="1427" t="s">
        <v>8</v>
      </c>
      <c r="G23" s="1443" t="s">
        <v>8</v>
      </c>
      <c r="H23" s="1414" t="s">
        <v>8</v>
      </c>
      <c r="I23" s="130" t="s">
        <v>8</v>
      </c>
    </row>
    <row r="24" spans="1:9">
      <c r="A24" s="130" t="s">
        <v>8</v>
      </c>
      <c r="B24" s="1428">
        <v>1</v>
      </c>
      <c r="C24" s="1430" t="s">
        <v>125</v>
      </c>
      <c r="D24" s="1430" t="s">
        <v>295</v>
      </c>
      <c r="E24" s="1434">
        <v>39060</v>
      </c>
      <c r="F24" s="1430" t="s">
        <v>296</v>
      </c>
      <c r="G24" s="1436">
        <v>8</v>
      </c>
      <c r="H24" s="1422" t="s">
        <v>55</v>
      </c>
      <c r="I24" s="130" t="s">
        <v>8</v>
      </c>
    </row>
    <row r="25" spans="1:9">
      <c r="A25" s="130" t="s">
        <v>8</v>
      </c>
      <c r="B25" s="1428">
        <v>2</v>
      </c>
      <c r="C25" s="1430" t="s">
        <v>141</v>
      </c>
      <c r="D25" s="1430" t="s">
        <v>297</v>
      </c>
      <c r="E25" s="1434">
        <v>38.5</v>
      </c>
      <c r="F25" s="1430" t="s">
        <v>298</v>
      </c>
      <c r="G25" s="1436">
        <v>7</v>
      </c>
      <c r="H25" s="1422" t="s">
        <v>55</v>
      </c>
      <c r="I25" s="130" t="s">
        <v>8</v>
      </c>
    </row>
    <row r="26" spans="1:9">
      <c r="A26" s="130" t="s">
        <v>8</v>
      </c>
      <c r="B26" s="1428">
        <v>3</v>
      </c>
      <c r="C26" s="1430" t="s">
        <v>190</v>
      </c>
      <c r="D26" s="1430" t="s">
        <v>299</v>
      </c>
      <c r="E26" s="1434">
        <v>38.5</v>
      </c>
      <c r="F26" s="1430" t="s">
        <v>300</v>
      </c>
      <c r="G26" s="1436">
        <v>6</v>
      </c>
      <c r="H26" s="1422" t="s">
        <v>55</v>
      </c>
      <c r="I26" s="130" t="s">
        <v>8</v>
      </c>
    </row>
    <row r="27" spans="1:9">
      <c r="A27" s="130" t="s">
        <v>8</v>
      </c>
      <c r="B27" s="1428">
        <v>4</v>
      </c>
      <c r="C27" s="1430" t="s">
        <v>38</v>
      </c>
      <c r="D27" s="1430" t="s">
        <v>301</v>
      </c>
      <c r="E27" s="1434">
        <v>38.5</v>
      </c>
      <c r="F27" s="1430" t="s">
        <v>302</v>
      </c>
      <c r="G27" s="1436">
        <v>3</v>
      </c>
      <c r="H27" s="1422" t="s">
        <v>55</v>
      </c>
      <c r="I27" s="130" t="s">
        <v>8</v>
      </c>
    </row>
    <row r="28" spans="1:9">
      <c r="A28" s="130" t="s">
        <v>8</v>
      </c>
      <c r="B28" s="1428">
        <v>5</v>
      </c>
      <c r="C28" s="1430" t="s">
        <v>48</v>
      </c>
      <c r="D28" s="1430" t="s">
        <v>303</v>
      </c>
      <c r="E28" s="1434">
        <v>38.5</v>
      </c>
      <c r="F28" s="1430" t="s">
        <v>304</v>
      </c>
      <c r="G28" s="1436">
        <v>1</v>
      </c>
      <c r="H28" s="1422" t="s">
        <v>55</v>
      </c>
      <c r="I28" s="130" t="s">
        <v>8</v>
      </c>
    </row>
    <row r="29" spans="1:9">
      <c r="A29" s="130" t="s">
        <v>8</v>
      </c>
      <c r="B29" s="1428">
        <v>6</v>
      </c>
      <c r="C29" s="1430" t="s">
        <v>48</v>
      </c>
      <c r="D29" s="1430" t="s">
        <v>303</v>
      </c>
      <c r="E29" s="1434">
        <v>504.25</v>
      </c>
      <c r="F29" s="1430" t="s">
        <v>304</v>
      </c>
      <c r="G29" s="1436">
        <v>1</v>
      </c>
      <c r="H29" s="1422" t="s">
        <v>55</v>
      </c>
      <c r="I29" s="130" t="s">
        <v>8</v>
      </c>
    </row>
    <row r="30" spans="1:9">
      <c r="A30" s="130" t="s">
        <v>8</v>
      </c>
      <c r="B30" s="1428">
        <v>7</v>
      </c>
      <c r="C30" s="1430" t="s">
        <v>27</v>
      </c>
      <c r="D30" s="1430" t="s">
        <v>305</v>
      </c>
      <c r="E30" s="1434">
        <v>22</v>
      </c>
      <c r="F30" s="1430" t="s">
        <v>306</v>
      </c>
      <c r="G30" s="1436">
        <v>0</v>
      </c>
      <c r="H30" s="1422" t="s">
        <v>55</v>
      </c>
      <c r="I30" s="130" t="s">
        <v>8</v>
      </c>
    </row>
    <row r="31" spans="1:9">
      <c r="A31" s="130" t="s">
        <v>8</v>
      </c>
      <c r="B31" s="1428">
        <v>8</v>
      </c>
      <c r="C31" s="1430" t="s">
        <v>27</v>
      </c>
      <c r="D31" s="1430" t="s">
        <v>307</v>
      </c>
      <c r="E31" s="1434">
        <v>38.5</v>
      </c>
      <c r="F31" s="1430" t="s">
        <v>308</v>
      </c>
      <c r="G31" s="1436">
        <v>0</v>
      </c>
      <c r="H31" s="1422" t="s">
        <v>55</v>
      </c>
      <c r="I31" s="130" t="s">
        <v>8</v>
      </c>
    </row>
    <row r="32" spans="1:9">
      <c r="A32" s="130" t="s">
        <v>8</v>
      </c>
      <c r="B32" s="1428">
        <v>9</v>
      </c>
      <c r="C32" s="1430" t="s">
        <v>27</v>
      </c>
      <c r="D32" s="1430" t="s">
        <v>307</v>
      </c>
      <c r="E32" s="1434">
        <v>4659</v>
      </c>
      <c r="F32" s="1430" t="s">
        <v>308</v>
      </c>
      <c r="G32" s="1436">
        <v>0</v>
      </c>
      <c r="H32" s="1422" t="s">
        <v>55</v>
      </c>
      <c r="I32" s="130" t="s">
        <v>8</v>
      </c>
    </row>
    <row r="33" spans="1:9">
      <c r="A33" s="130" t="s">
        <v>8</v>
      </c>
      <c r="B33" s="1428" t="s">
        <v>8</v>
      </c>
      <c r="C33" s="1430" t="s">
        <v>8</v>
      </c>
      <c r="D33" s="1430" t="s">
        <v>8</v>
      </c>
      <c r="E33" s="1434" t="s">
        <v>8</v>
      </c>
      <c r="F33" s="1430" t="s">
        <v>8</v>
      </c>
      <c r="G33" s="1436" t="s">
        <v>8</v>
      </c>
      <c r="H33" s="1422" t="s">
        <v>8</v>
      </c>
      <c r="I33" s="130" t="s">
        <v>8</v>
      </c>
    </row>
    <row r="34" spans="1:9" ht="15.75" thickBot="1">
      <c r="A34" s="130" t="s">
        <v>8</v>
      </c>
      <c r="B34" s="1429" t="s">
        <v>8</v>
      </c>
      <c r="C34" s="1431" t="s">
        <v>8</v>
      </c>
      <c r="D34" s="1433" t="s">
        <v>51</v>
      </c>
      <c r="E34" s="1435">
        <f>SUM($E$24:$E$33)</f>
        <v>44437.75</v>
      </c>
      <c r="F34" s="1431" t="s">
        <v>8</v>
      </c>
      <c r="G34" s="1437" t="s">
        <v>8</v>
      </c>
      <c r="H34" s="1417" t="s">
        <v>8</v>
      </c>
      <c r="I34" s="130" t="s">
        <v>8</v>
      </c>
    </row>
    <row r="35" spans="1:9" ht="15.75" thickTop="1">
      <c r="A35" s="130" t="s">
        <v>8</v>
      </c>
      <c r="B35" s="1419" t="s">
        <v>8</v>
      </c>
      <c r="C35" s="130" t="s">
        <v>8</v>
      </c>
      <c r="D35" s="130" t="s">
        <v>8</v>
      </c>
      <c r="E35" s="131" t="s">
        <v>8</v>
      </c>
      <c r="F35" s="130" t="s">
        <v>8</v>
      </c>
      <c r="G35" s="1418" t="s">
        <v>8</v>
      </c>
      <c r="H35" s="130" t="s">
        <v>8</v>
      </c>
      <c r="I35" s="130" t="s">
        <v>8</v>
      </c>
    </row>
    <row r="36" spans="1:9" ht="15.75" thickBot="1">
      <c r="A36" s="130" t="s">
        <v>8</v>
      </c>
      <c r="B36" s="1419" t="s">
        <v>8</v>
      </c>
      <c r="C36" s="130" t="s">
        <v>8</v>
      </c>
      <c r="D36" s="130" t="s">
        <v>8</v>
      </c>
      <c r="E36" s="131" t="s">
        <v>8</v>
      </c>
      <c r="F36" s="130" t="s">
        <v>8</v>
      </c>
      <c r="G36" s="1418" t="s">
        <v>8</v>
      </c>
      <c r="H36" s="130" t="s">
        <v>8</v>
      </c>
      <c r="I36" s="130" t="s">
        <v>8</v>
      </c>
    </row>
    <row r="37" spans="1:9" ht="15.75" thickTop="1">
      <c r="A37" s="130" t="s">
        <v>8</v>
      </c>
      <c r="B37" s="1441" t="s">
        <v>8</v>
      </c>
      <c r="C37" s="1427" t="s">
        <v>8</v>
      </c>
      <c r="D37" s="1432" t="s">
        <v>309</v>
      </c>
      <c r="E37" s="1442" t="s">
        <v>8</v>
      </c>
      <c r="F37" s="1427" t="s">
        <v>8</v>
      </c>
      <c r="G37" s="1443" t="s">
        <v>8</v>
      </c>
      <c r="H37" s="1414" t="s">
        <v>8</v>
      </c>
      <c r="I37" s="130" t="s">
        <v>8</v>
      </c>
    </row>
    <row r="38" spans="1:9">
      <c r="A38" s="130" t="s">
        <v>8</v>
      </c>
      <c r="B38" s="1428">
        <v>1</v>
      </c>
      <c r="C38" s="1430" t="s">
        <v>310</v>
      </c>
      <c r="D38" s="1430" t="s">
        <v>311</v>
      </c>
      <c r="E38" s="1434">
        <v>2221.64</v>
      </c>
      <c r="F38" s="1430" t="s">
        <v>311</v>
      </c>
      <c r="G38" s="1436">
        <v>15</v>
      </c>
      <c r="H38" s="1422" t="s">
        <v>88</v>
      </c>
      <c r="I38" s="130" t="s">
        <v>8</v>
      </c>
    </row>
    <row r="39" spans="1:9">
      <c r="A39" s="130" t="s">
        <v>8</v>
      </c>
      <c r="B39" s="1428" t="s">
        <v>8</v>
      </c>
      <c r="C39" s="1430" t="s">
        <v>8</v>
      </c>
      <c r="D39" s="1430" t="s">
        <v>8</v>
      </c>
      <c r="E39" s="1434" t="s">
        <v>8</v>
      </c>
      <c r="F39" s="1430" t="s">
        <v>8</v>
      </c>
      <c r="G39" s="1436" t="s">
        <v>8</v>
      </c>
      <c r="H39" s="1422" t="s">
        <v>8</v>
      </c>
      <c r="I39" s="130" t="s">
        <v>8</v>
      </c>
    </row>
    <row r="40" spans="1:9" ht="15.75" thickBot="1">
      <c r="A40" s="130" t="s">
        <v>8</v>
      </c>
      <c r="B40" s="1429" t="s">
        <v>8</v>
      </c>
      <c r="C40" s="1431" t="s">
        <v>8</v>
      </c>
      <c r="D40" s="1433" t="s">
        <v>51</v>
      </c>
      <c r="E40" s="1435">
        <f>SUM($E$38:$E$39)</f>
        <v>2221.64</v>
      </c>
      <c r="F40" s="1431" t="s">
        <v>8</v>
      </c>
      <c r="G40" s="1437" t="s">
        <v>8</v>
      </c>
      <c r="H40" s="1417" t="s">
        <v>8</v>
      </c>
      <c r="I40" s="130" t="s">
        <v>8</v>
      </c>
    </row>
    <row r="41" spans="1:9" ht="15.75" thickTop="1">
      <c r="A41" s="130" t="s">
        <v>8</v>
      </c>
      <c r="B41" s="1419" t="s">
        <v>8</v>
      </c>
      <c r="C41" s="130" t="s">
        <v>8</v>
      </c>
      <c r="D41" s="130" t="s">
        <v>8</v>
      </c>
      <c r="E41" s="131" t="s">
        <v>8</v>
      </c>
      <c r="F41" s="130" t="s">
        <v>8</v>
      </c>
      <c r="G41" s="1418" t="s">
        <v>8</v>
      </c>
      <c r="H41" s="130" t="s">
        <v>8</v>
      </c>
      <c r="I41" s="130" t="s">
        <v>8</v>
      </c>
    </row>
    <row r="42" spans="1:9" ht="15.75" thickBot="1">
      <c r="A42" s="130" t="s">
        <v>8</v>
      </c>
      <c r="B42" s="1419" t="s">
        <v>8</v>
      </c>
      <c r="C42" s="130" t="s">
        <v>8</v>
      </c>
      <c r="D42" s="130" t="s">
        <v>8</v>
      </c>
      <c r="E42" s="131" t="s">
        <v>8</v>
      </c>
      <c r="F42" s="130" t="s">
        <v>8</v>
      </c>
      <c r="G42" s="1418" t="s">
        <v>8</v>
      </c>
      <c r="H42" s="130" t="s">
        <v>8</v>
      </c>
      <c r="I42" s="130" t="s">
        <v>8</v>
      </c>
    </row>
    <row r="43" spans="1:9" ht="15.75" thickTop="1">
      <c r="A43" s="130" t="s">
        <v>8</v>
      </c>
      <c r="B43" s="1441" t="s">
        <v>8</v>
      </c>
      <c r="C43" s="1427" t="s">
        <v>8</v>
      </c>
      <c r="D43" s="1432" t="s">
        <v>312</v>
      </c>
      <c r="E43" s="1442" t="s">
        <v>8</v>
      </c>
      <c r="F43" s="1427" t="s">
        <v>8</v>
      </c>
      <c r="G43" s="1443" t="s">
        <v>8</v>
      </c>
      <c r="H43" s="1414" t="s">
        <v>8</v>
      </c>
      <c r="I43" s="130" t="s">
        <v>8</v>
      </c>
    </row>
    <row r="44" spans="1:9">
      <c r="A44" s="130" t="s">
        <v>8</v>
      </c>
      <c r="B44" s="1428">
        <v>1</v>
      </c>
      <c r="C44" s="1430" t="s">
        <v>27</v>
      </c>
      <c r="D44" s="1430" t="s">
        <v>313</v>
      </c>
      <c r="E44" s="1434">
        <v>250</v>
      </c>
      <c r="F44" s="1430" t="s">
        <v>314</v>
      </c>
      <c r="G44" s="1436">
        <v>0</v>
      </c>
      <c r="H44" s="1422" t="s">
        <v>96</v>
      </c>
      <c r="I44" s="130" t="s">
        <v>8</v>
      </c>
    </row>
    <row r="45" spans="1:9">
      <c r="A45" s="130" t="s">
        <v>8</v>
      </c>
      <c r="B45" s="1428">
        <v>2</v>
      </c>
      <c r="C45" s="1430" t="s">
        <v>27</v>
      </c>
      <c r="D45" s="1430" t="s">
        <v>315</v>
      </c>
      <c r="E45" s="1434">
        <v>1000</v>
      </c>
      <c r="F45" s="1430" t="s">
        <v>316</v>
      </c>
      <c r="G45" s="1436">
        <v>0</v>
      </c>
      <c r="H45" s="1422" t="s">
        <v>96</v>
      </c>
      <c r="I45" s="130" t="s">
        <v>8</v>
      </c>
    </row>
    <row r="46" spans="1:9">
      <c r="A46" s="130" t="s">
        <v>8</v>
      </c>
      <c r="B46" s="1428">
        <v>3</v>
      </c>
      <c r="C46" s="1430" t="s">
        <v>27</v>
      </c>
      <c r="D46" s="1430" t="s">
        <v>317</v>
      </c>
      <c r="E46" s="1434">
        <v>5510</v>
      </c>
      <c r="F46" s="1430" t="s">
        <v>318</v>
      </c>
      <c r="G46" s="1436">
        <v>0</v>
      </c>
      <c r="H46" s="1422" t="s">
        <v>96</v>
      </c>
      <c r="I46" s="130" t="s">
        <v>8</v>
      </c>
    </row>
    <row r="47" spans="1:9">
      <c r="A47" s="130" t="s">
        <v>8</v>
      </c>
      <c r="B47" s="1428">
        <v>4</v>
      </c>
      <c r="C47" s="1430" t="s">
        <v>27</v>
      </c>
      <c r="D47" s="1430" t="s">
        <v>319</v>
      </c>
      <c r="E47" s="1434">
        <v>11646</v>
      </c>
      <c r="F47" s="1430" t="s">
        <v>320</v>
      </c>
      <c r="G47" s="1436">
        <v>0</v>
      </c>
      <c r="H47" s="1422" t="s">
        <v>96</v>
      </c>
      <c r="I47" s="130" t="s">
        <v>8</v>
      </c>
    </row>
    <row r="48" spans="1:9">
      <c r="A48" s="130" t="s">
        <v>8</v>
      </c>
      <c r="B48" s="1428">
        <v>5</v>
      </c>
      <c r="C48" s="1430" t="s">
        <v>27</v>
      </c>
      <c r="D48" s="1430" t="s">
        <v>321</v>
      </c>
      <c r="E48" s="1434">
        <v>41514.160000000003</v>
      </c>
      <c r="F48" s="1430" t="s">
        <v>322</v>
      </c>
      <c r="G48" s="1436">
        <v>0</v>
      </c>
      <c r="H48" s="1422" t="s">
        <v>96</v>
      </c>
      <c r="I48" s="130" t="s">
        <v>8</v>
      </c>
    </row>
    <row r="49" spans="1:9">
      <c r="A49" s="130" t="s">
        <v>8</v>
      </c>
      <c r="B49" s="1428" t="s">
        <v>8</v>
      </c>
      <c r="C49" s="1430" t="s">
        <v>8</v>
      </c>
      <c r="D49" s="1430" t="s">
        <v>8</v>
      </c>
      <c r="E49" s="1434" t="s">
        <v>8</v>
      </c>
      <c r="F49" s="1430" t="s">
        <v>8</v>
      </c>
      <c r="G49" s="1436" t="s">
        <v>8</v>
      </c>
      <c r="H49" s="1422" t="s">
        <v>8</v>
      </c>
      <c r="I49" s="130" t="s">
        <v>8</v>
      </c>
    </row>
    <row r="50" spans="1:9" ht="15.75" thickBot="1">
      <c r="A50" s="130" t="s">
        <v>8</v>
      </c>
      <c r="B50" s="1429" t="s">
        <v>8</v>
      </c>
      <c r="C50" s="1431" t="s">
        <v>8</v>
      </c>
      <c r="D50" s="1433" t="s">
        <v>51</v>
      </c>
      <c r="E50" s="1435">
        <f>SUM($E$44:$E$49)</f>
        <v>59920.160000000003</v>
      </c>
      <c r="F50" s="1431" t="s">
        <v>8</v>
      </c>
      <c r="G50" s="1437" t="s">
        <v>8</v>
      </c>
      <c r="H50" s="1417" t="s">
        <v>8</v>
      </c>
      <c r="I50" s="130" t="s">
        <v>8</v>
      </c>
    </row>
    <row r="51" spans="1:9" ht="16.5" thickTop="1" thickBot="1">
      <c r="A51" s="130" t="s">
        <v>8</v>
      </c>
      <c r="B51" s="1419" t="s">
        <v>8</v>
      </c>
      <c r="C51" s="130" t="s">
        <v>8</v>
      </c>
      <c r="D51" s="130" t="s">
        <v>8</v>
      </c>
      <c r="E51" s="131" t="s">
        <v>8</v>
      </c>
      <c r="F51" s="130" t="s">
        <v>8</v>
      </c>
      <c r="G51" s="1418" t="s">
        <v>8</v>
      </c>
      <c r="H51" s="130" t="s">
        <v>8</v>
      </c>
      <c r="I51" s="130" t="s">
        <v>8</v>
      </c>
    </row>
    <row r="52" spans="1:9" ht="15.75" thickTop="1">
      <c r="A52" s="130" t="s">
        <v>8</v>
      </c>
      <c r="B52" s="1438" t="s">
        <v>8</v>
      </c>
      <c r="C52" s="1413" t="s">
        <v>8</v>
      </c>
      <c r="D52" s="1413" t="s">
        <v>8</v>
      </c>
      <c r="E52" s="1439" t="s">
        <v>8</v>
      </c>
      <c r="F52" s="1413" t="s">
        <v>8</v>
      </c>
      <c r="G52" s="1440" t="s">
        <v>8</v>
      </c>
      <c r="H52" s="1414" t="s">
        <v>8</v>
      </c>
      <c r="I52" s="130" t="s">
        <v>8</v>
      </c>
    </row>
    <row r="53" spans="1:9">
      <c r="A53" s="130" t="s">
        <v>8</v>
      </c>
      <c r="B53" s="1421" t="s">
        <v>8</v>
      </c>
      <c r="C53" s="2122" t="s">
        <v>8</v>
      </c>
      <c r="D53" s="2124" t="s">
        <v>114</v>
      </c>
      <c r="E53" s="2123">
        <f>ABS(E13+$E$20-$E$50+$E$34-$E$40)</f>
        <v>1872046.4100000001</v>
      </c>
      <c r="F53" s="2122" t="s">
        <v>8</v>
      </c>
      <c r="G53" s="2126" t="s">
        <v>8</v>
      </c>
      <c r="H53" s="1422" t="s">
        <v>8</v>
      </c>
      <c r="I53" s="130" t="s">
        <v>8</v>
      </c>
    </row>
    <row r="54" spans="1:9">
      <c r="A54" s="130" t="s">
        <v>8</v>
      </c>
      <c r="B54" s="1421" t="s">
        <v>8</v>
      </c>
      <c r="C54" s="2122" t="s">
        <v>8</v>
      </c>
      <c r="D54" s="2124" t="s">
        <v>115</v>
      </c>
      <c r="E54" s="2123">
        <v>1872046.41</v>
      </c>
      <c r="F54" s="2122" t="s">
        <v>8</v>
      </c>
      <c r="G54" s="2126" t="s">
        <v>8</v>
      </c>
      <c r="H54" s="1422" t="s">
        <v>8</v>
      </c>
      <c r="I54" s="130" t="s">
        <v>116</v>
      </c>
    </row>
    <row r="55" spans="1:9" ht="15.75" thickBot="1">
      <c r="A55" s="130" t="s">
        <v>8</v>
      </c>
      <c r="B55" s="1423" t="s">
        <v>8</v>
      </c>
      <c r="C55" s="1416" t="s">
        <v>8</v>
      </c>
      <c r="D55" s="1424" t="s">
        <v>117</v>
      </c>
      <c r="E55" s="1425">
        <f>$E$54-$E$53</f>
        <v>0</v>
      </c>
      <c r="F55" s="1416" t="s">
        <v>8</v>
      </c>
      <c r="G55" s="1426" t="s">
        <v>8</v>
      </c>
      <c r="H55" s="1417" t="s">
        <v>8</v>
      </c>
      <c r="I55" s="130" t="s">
        <v>8</v>
      </c>
    </row>
    <row r="56" spans="1:9" ht="16.5" thickTop="1" thickBot="1">
      <c r="A56" s="130" t="s">
        <v>8</v>
      </c>
      <c r="B56" s="1419" t="s">
        <v>8</v>
      </c>
      <c r="C56" s="130" t="s">
        <v>8</v>
      </c>
      <c r="D56" s="130" t="s">
        <v>8</v>
      </c>
      <c r="E56" s="131" t="s">
        <v>8</v>
      </c>
      <c r="F56" s="130" t="s">
        <v>8</v>
      </c>
      <c r="G56" s="1418" t="s">
        <v>8</v>
      </c>
      <c r="H56" s="130" t="s">
        <v>8</v>
      </c>
      <c r="I56" s="130" t="s">
        <v>8</v>
      </c>
    </row>
    <row r="57" spans="1:9" ht="15.75" thickTop="1">
      <c r="A57" s="130" t="s">
        <v>8</v>
      </c>
      <c r="B57" s="1438" t="s">
        <v>8</v>
      </c>
      <c r="C57" s="1413" t="s">
        <v>8</v>
      </c>
      <c r="D57" s="1420" t="s">
        <v>118</v>
      </c>
      <c r="E57" s="1444" t="s">
        <v>119</v>
      </c>
      <c r="F57" s="1420" t="s">
        <v>120</v>
      </c>
      <c r="G57" s="1440">
        <v>45981</v>
      </c>
      <c r="H57" s="1414" t="s">
        <v>8</v>
      </c>
      <c r="I57" s="130" t="s">
        <v>8</v>
      </c>
    </row>
    <row r="58" spans="1:9">
      <c r="A58" s="130" t="s">
        <v>8</v>
      </c>
      <c r="B58" s="1421" t="s">
        <v>8</v>
      </c>
      <c r="C58" s="2122" t="s">
        <v>8</v>
      </c>
      <c r="D58" s="2122" t="s">
        <v>8</v>
      </c>
      <c r="E58" s="2125" t="s">
        <v>8</v>
      </c>
      <c r="F58" s="2122" t="s">
        <v>8</v>
      </c>
      <c r="G58" s="2126" t="s">
        <v>8</v>
      </c>
      <c r="H58" s="1422" t="s">
        <v>8</v>
      </c>
      <c r="I58" s="130" t="s">
        <v>8</v>
      </c>
    </row>
    <row r="59" spans="1:9">
      <c r="A59" s="130" t="s">
        <v>8</v>
      </c>
      <c r="B59" s="1421" t="s">
        <v>8</v>
      </c>
      <c r="C59" s="2122" t="s">
        <v>8</v>
      </c>
      <c r="D59" s="2122" t="s">
        <v>8</v>
      </c>
      <c r="E59" s="2125" t="s">
        <v>8</v>
      </c>
      <c r="F59" s="2122" t="s">
        <v>8</v>
      </c>
      <c r="G59" s="2126" t="s">
        <v>8</v>
      </c>
      <c r="H59" s="1422" t="s">
        <v>8</v>
      </c>
      <c r="I59" s="130" t="s">
        <v>8</v>
      </c>
    </row>
    <row r="60" spans="1:9">
      <c r="A60" s="130" t="s">
        <v>8</v>
      </c>
      <c r="B60" s="1421" t="s">
        <v>8</v>
      </c>
      <c r="C60" s="2122" t="s">
        <v>8</v>
      </c>
      <c r="D60" s="2124" t="s">
        <v>121</v>
      </c>
      <c r="E60" s="2123" t="s">
        <v>8</v>
      </c>
      <c r="F60" s="2124" t="s">
        <v>120</v>
      </c>
      <c r="G60" s="2126" t="s">
        <v>8</v>
      </c>
      <c r="H60" s="1422" t="s">
        <v>8</v>
      </c>
      <c r="I60" s="130" t="s">
        <v>8</v>
      </c>
    </row>
    <row r="61" spans="1:9">
      <c r="B61" s="180"/>
      <c r="C61" s="1919"/>
      <c r="D61" s="1919"/>
      <c r="E61" s="1919"/>
      <c r="F61" s="1919"/>
      <c r="G61" s="1919"/>
      <c r="H61" s="181"/>
    </row>
    <row r="62" spans="1:9" ht="15.75" thickBot="1">
      <c r="B62" s="182"/>
      <c r="C62" s="183"/>
      <c r="D62" s="183"/>
      <c r="E62" s="183"/>
      <c r="F62" s="183"/>
      <c r="G62" s="183"/>
      <c r="H62" s="184"/>
    </row>
    <row r="63" spans="1:9" ht="15.75" thickTop="1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showGridLines="0" topLeftCell="A35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2.28515625" bestFit="1" customWidth="1"/>
    <col min="5" max="5" width="24.5703125" bestFit="1" customWidth="1"/>
    <col min="6" max="6" width="16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6</v>
      </c>
      <c r="H1" s="135" t="s">
        <v>7</v>
      </c>
      <c r="I1" s="135" t="s">
        <v>196</v>
      </c>
    </row>
    <row r="2" spans="1:9">
      <c r="A2" s="133" t="s">
        <v>8</v>
      </c>
      <c r="B2" s="133" t="s">
        <v>8</v>
      </c>
      <c r="C2" s="133" t="s">
        <v>8</v>
      </c>
      <c r="D2" s="133" t="s">
        <v>8</v>
      </c>
      <c r="E2" s="133" t="s">
        <v>8</v>
      </c>
      <c r="F2" s="133" t="s">
        <v>8</v>
      </c>
      <c r="G2" s="133" t="s">
        <v>8</v>
      </c>
      <c r="H2" s="133" t="s">
        <v>8</v>
      </c>
      <c r="I2" s="133" t="s">
        <v>8</v>
      </c>
    </row>
    <row r="3" spans="1:9" ht="15.75" thickBot="1">
      <c r="A3" s="133" t="s">
        <v>8</v>
      </c>
      <c r="B3" s="133" t="s">
        <v>8</v>
      </c>
      <c r="C3" s="133" t="s">
        <v>8</v>
      </c>
      <c r="D3" s="133" t="s">
        <v>8</v>
      </c>
      <c r="E3" s="133" t="s">
        <v>8</v>
      </c>
      <c r="F3" s="133" t="s">
        <v>8</v>
      </c>
      <c r="G3" s="133" t="s">
        <v>8</v>
      </c>
      <c r="H3" s="133" t="s">
        <v>8</v>
      </c>
      <c r="I3" s="133" t="s">
        <v>8</v>
      </c>
    </row>
    <row r="4" spans="1:9" ht="16.5" thickTop="1" thickBot="1">
      <c r="A4" s="133" t="s">
        <v>8</v>
      </c>
      <c r="B4" s="133" t="s">
        <v>14</v>
      </c>
      <c r="C4" s="133" t="s">
        <v>8</v>
      </c>
      <c r="D4" s="1446" t="s">
        <v>15</v>
      </c>
      <c r="E4" s="133" t="s">
        <v>16</v>
      </c>
      <c r="F4" s="1446" t="s">
        <v>323</v>
      </c>
      <c r="G4" s="133" t="s">
        <v>8</v>
      </c>
      <c r="H4" s="133" t="s">
        <v>8</v>
      </c>
      <c r="I4" s="133" t="s">
        <v>8</v>
      </c>
    </row>
    <row r="5" spans="1:9" ht="16.5" thickTop="1" thickBot="1">
      <c r="A5" s="133" t="s">
        <v>8</v>
      </c>
      <c r="B5" s="133" t="s">
        <v>8</v>
      </c>
      <c r="C5" s="133" t="s">
        <v>8</v>
      </c>
      <c r="D5" s="133" t="s">
        <v>8</v>
      </c>
      <c r="E5" s="133" t="s">
        <v>8</v>
      </c>
      <c r="F5" s="133" t="s">
        <v>8</v>
      </c>
      <c r="G5" s="133" t="s">
        <v>8</v>
      </c>
      <c r="H5" s="133" t="s">
        <v>8</v>
      </c>
      <c r="I5" s="133" t="s">
        <v>8</v>
      </c>
    </row>
    <row r="6" spans="1:9" ht="16.5" thickTop="1" thickBot="1">
      <c r="A6" s="133" t="s">
        <v>8</v>
      </c>
      <c r="B6" s="133" t="s">
        <v>18</v>
      </c>
      <c r="C6" s="133" t="s">
        <v>8</v>
      </c>
      <c r="D6" s="1446" t="s">
        <v>19</v>
      </c>
      <c r="E6" s="133" t="s">
        <v>20</v>
      </c>
      <c r="F6" s="1446" t="s">
        <v>324</v>
      </c>
      <c r="G6" s="133" t="s">
        <v>8</v>
      </c>
      <c r="H6" s="133" t="s">
        <v>8</v>
      </c>
      <c r="I6" s="133" t="s">
        <v>8</v>
      </c>
    </row>
    <row r="7" spans="1:9" ht="16.5" thickTop="1" thickBot="1">
      <c r="A7" s="133" t="s">
        <v>8</v>
      </c>
      <c r="B7" s="133" t="s">
        <v>8</v>
      </c>
      <c r="C7" s="133" t="s">
        <v>8</v>
      </c>
      <c r="D7" s="133" t="s">
        <v>8</v>
      </c>
      <c r="E7" s="133" t="s">
        <v>8</v>
      </c>
      <c r="F7" s="133" t="s">
        <v>8</v>
      </c>
      <c r="G7" s="133" t="s">
        <v>8</v>
      </c>
      <c r="H7" s="133" t="s">
        <v>8</v>
      </c>
      <c r="I7" s="133" t="s">
        <v>8</v>
      </c>
    </row>
    <row r="8" spans="1:9" ht="16.5" thickTop="1" thickBot="1">
      <c r="A8" s="133" t="s">
        <v>8</v>
      </c>
      <c r="B8" s="133" t="s">
        <v>22</v>
      </c>
      <c r="C8" s="133" t="s">
        <v>8</v>
      </c>
      <c r="D8" s="1446" t="s">
        <v>11</v>
      </c>
      <c r="E8" s="133" t="s">
        <v>23</v>
      </c>
      <c r="F8" s="1446" t="s">
        <v>325</v>
      </c>
      <c r="G8" s="133" t="s">
        <v>8</v>
      </c>
      <c r="H8" s="133" t="s">
        <v>8</v>
      </c>
      <c r="I8" s="133" t="s">
        <v>8</v>
      </c>
    </row>
    <row r="9" spans="1:9" ht="16.5" thickTop="1" thickBot="1">
      <c r="A9" s="133" t="s">
        <v>8</v>
      </c>
      <c r="B9" s="133" t="s">
        <v>8</v>
      </c>
      <c r="C9" s="133" t="s">
        <v>8</v>
      </c>
      <c r="D9" s="133" t="s">
        <v>8</v>
      </c>
      <c r="E9" s="133" t="s">
        <v>8</v>
      </c>
      <c r="F9" s="133" t="s">
        <v>8</v>
      </c>
      <c r="G9" s="133" t="s">
        <v>8</v>
      </c>
      <c r="H9" s="133" t="s">
        <v>8</v>
      </c>
      <c r="I9" s="133" t="s">
        <v>8</v>
      </c>
    </row>
    <row r="10" spans="1:9" ht="16.5" thickTop="1" thickBot="1">
      <c r="A10" s="133" t="s">
        <v>8</v>
      </c>
      <c r="B10" s="133" t="s">
        <v>25</v>
      </c>
      <c r="C10" s="133" t="s">
        <v>8</v>
      </c>
      <c r="D10" s="1446" t="s">
        <v>26</v>
      </c>
      <c r="E10" s="133" t="s">
        <v>8</v>
      </c>
      <c r="F10" s="133" t="s">
        <v>8</v>
      </c>
      <c r="G10" s="133" t="s">
        <v>8</v>
      </c>
      <c r="H10" s="133" t="s">
        <v>8</v>
      </c>
      <c r="I10" s="133" t="s">
        <v>8</v>
      </c>
    </row>
    <row r="11" spans="1:9" ht="16.5" thickTop="1" thickBot="1">
      <c r="A11" s="133" t="s">
        <v>8</v>
      </c>
      <c r="B11" s="133" t="s">
        <v>8</v>
      </c>
      <c r="C11" s="133" t="s">
        <v>8</v>
      </c>
      <c r="D11" s="133" t="s">
        <v>8</v>
      </c>
      <c r="E11" s="133" t="s">
        <v>8</v>
      </c>
      <c r="F11" s="133" t="s">
        <v>8</v>
      </c>
      <c r="G11" s="133" t="s">
        <v>8</v>
      </c>
      <c r="H11" s="133" t="s">
        <v>8</v>
      </c>
      <c r="I11" s="133" t="s">
        <v>8</v>
      </c>
    </row>
    <row r="12" spans="1:9" ht="16.5" thickTop="1" thickBot="1">
      <c r="A12" s="133" t="s">
        <v>8</v>
      </c>
      <c r="B12" s="1447" t="s">
        <v>8</v>
      </c>
      <c r="C12" s="1448" t="s">
        <v>8</v>
      </c>
      <c r="D12" s="1448" t="s">
        <v>8</v>
      </c>
      <c r="E12" s="1448" t="s">
        <v>8</v>
      </c>
      <c r="F12" s="1448" t="s">
        <v>8</v>
      </c>
      <c r="G12" s="1448" t="s">
        <v>8</v>
      </c>
      <c r="H12" s="1449" t="s">
        <v>8</v>
      </c>
      <c r="I12" s="133" t="s">
        <v>8</v>
      </c>
    </row>
    <row r="13" spans="1:9" ht="16.5" thickTop="1" thickBot="1">
      <c r="A13" s="133" t="s">
        <v>8</v>
      </c>
      <c r="B13" s="1450" t="s">
        <v>8</v>
      </c>
      <c r="C13" s="1445" t="s">
        <v>11</v>
      </c>
      <c r="D13" s="1451" t="s">
        <v>28</v>
      </c>
      <c r="E13" s="1460">
        <v>320144.76</v>
      </c>
      <c r="F13" s="1451" t="s">
        <v>8</v>
      </c>
      <c r="G13" s="1451" t="s">
        <v>8</v>
      </c>
      <c r="H13" s="1452" t="s">
        <v>8</v>
      </c>
      <c r="I13" s="133" t="s">
        <v>29</v>
      </c>
    </row>
    <row r="14" spans="1:9" ht="16.5" thickTop="1" thickBot="1">
      <c r="A14" s="133" t="s">
        <v>8</v>
      </c>
      <c r="B14" s="133" t="s">
        <v>8</v>
      </c>
      <c r="C14" s="133" t="s">
        <v>8</v>
      </c>
      <c r="D14" s="133" t="s">
        <v>8</v>
      </c>
      <c r="E14" s="133" t="s">
        <v>8</v>
      </c>
      <c r="F14" s="133" t="s">
        <v>8</v>
      </c>
      <c r="G14" s="133" t="s">
        <v>8</v>
      </c>
      <c r="H14" s="133" t="s">
        <v>8</v>
      </c>
      <c r="I14" s="133" t="s">
        <v>8</v>
      </c>
    </row>
    <row r="15" spans="1:9" ht="16.5" thickTop="1" thickBot="1">
      <c r="A15" s="133" t="s">
        <v>8</v>
      </c>
      <c r="B15" s="1446" t="s">
        <v>30</v>
      </c>
      <c r="C15" s="1445" t="s">
        <v>31</v>
      </c>
      <c r="D15" s="1445" t="s">
        <v>32</v>
      </c>
      <c r="E15" s="1445" t="s">
        <v>33</v>
      </c>
      <c r="F15" s="1445" t="s">
        <v>34</v>
      </c>
      <c r="G15" s="1445" t="s">
        <v>35</v>
      </c>
      <c r="H15" s="1445" t="s">
        <v>36</v>
      </c>
      <c r="I15" s="133" t="s">
        <v>8</v>
      </c>
    </row>
    <row r="16" spans="1:9" ht="16.5" thickTop="1" thickBot="1">
      <c r="A16" s="133" t="s">
        <v>8</v>
      </c>
      <c r="B16" s="133" t="s">
        <v>8</v>
      </c>
      <c r="C16" s="133" t="s">
        <v>8</v>
      </c>
      <c r="D16" s="133" t="s">
        <v>8</v>
      </c>
      <c r="E16" s="133" t="s">
        <v>8</v>
      </c>
      <c r="F16" s="133" t="s">
        <v>8</v>
      </c>
      <c r="G16" s="133" t="s">
        <v>8</v>
      </c>
      <c r="H16" s="133" t="s">
        <v>8</v>
      </c>
      <c r="I16" s="133" t="s">
        <v>8</v>
      </c>
    </row>
    <row r="17" spans="1:9" ht="15.75" thickTop="1">
      <c r="A17" s="133" t="s">
        <v>8</v>
      </c>
      <c r="B17" s="1462" t="s">
        <v>8</v>
      </c>
      <c r="C17" s="1462" t="s">
        <v>8</v>
      </c>
      <c r="D17" s="1467" t="s">
        <v>291</v>
      </c>
      <c r="E17" s="1462" t="s">
        <v>8</v>
      </c>
      <c r="F17" s="1462" t="s">
        <v>8</v>
      </c>
      <c r="G17" s="1462" t="s">
        <v>8</v>
      </c>
      <c r="H17" s="1449" t="s">
        <v>8</v>
      </c>
      <c r="I17" s="133" t="s">
        <v>8</v>
      </c>
    </row>
    <row r="18" spans="1:9">
      <c r="A18" s="133" t="s">
        <v>8</v>
      </c>
      <c r="B18" s="1463" t="s">
        <v>8</v>
      </c>
      <c r="C18" s="1465" t="s">
        <v>8</v>
      </c>
      <c r="D18" s="1465" t="s">
        <v>8</v>
      </c>
      <c r="E18" s="1469" t="s">
        <v>8</v>
      </c>
      <c r="F18" s="1465" t="s">
        <v>8</v>
      </c>
      <c r="G18" s="1471" t="s">
        <v>8</v>
      </c>
      <c r="H18" s="1457" t="s">
        <v>8</v>
      </c>
      <c r="I18" s="133" t="s">
        <v>8</v>
      </c>
    </row>
    <row r="19" spans="1:9">
      <c r="A19" s="133" t="s">
        <v>8</v>
      </c>
      <c r="B19" s="1463" t="s">
        <v>8</v>
      </c>
      <c r="C19" s="1465" t="s">
        <v>8</v>
      </c>
      <c r="D19" s="1465" t="s">
        <v>8</v>
      </c>
      <c r="E19" s="1469" t="s">
        <v>8</v>
      </c>
      <c r="F19" s="1465" t="s">
        <v>8</v>
      </c>
      <c r="G19" s="1471" t="s">
        <v>8</v>
      </c>
      <c r="H19" s="1457" t="s">
        <v>8</v>
      </c>
      <c r="I19" s="133" t="s">
        <v>8</v>
      </c>
    </row>
    <row r="20" spans="1:9" ht="15.75" thickBot="1">
      <c r="A20" s="133" t="s">
        <v>8</v>
      </c>
      <c r="B20" s="1464" t="s">
        <v>8</v>
      </c>
      <c r="C20" s="1466" t="s">
        <v>8</v>
      </c>
      <c r="D20" s="1468" t="s">
        <v>51</v>
      </c>
      <c r="E20" s="1470">
        <f>SUM($E$18:$E$19)</f>
        <v>0</v>
      </c>
      <c r="F20" s="1466" t="s">
        <v>8</v>
      </c>
      <c r="G20" s="1472" t="s">
        <v>8</v>
      </c>
      <c r="H20" s="1452" t="s">
        <v>8</v>
      </c>
      <c r="I20" s="133" t="s">
        <v>8</v>
      </c>
    </row>
    <row r="21" spans="1:9" ht="15.75" thickTop="1">
      <c r="A21" s="133" t="s">
        <v>8</v>
      </c>
      <c r="B21" s="1454" t="s">
        <v>8</v>
      </c>
      <c r="C21" s="133" t="s">
        <v>8</v>
      </c>
      <c r="D21" s="133" t="s">
        <v>8</v>
      </c>
      <c r="E21" s="134" t="s">
        <v>8</v>
      </c>
      <c r="F21" s="133" t="s">
        <v>8</v>
      </c>
      <c r="G21" s="1453" t="s">
        <v>8</v>
      </c>
      <c r="H21" s="133" t="s">
        <v>8</v>
      </c>
      <c r="I21" s="133" t="s">
        <v>8</v>
      </c>
    </row>
    <row r="22" spans="1:9" ht="15.75" thickBot="1">
      <c r="A22" s="133" t="s">
        <v>8</v>
      </c>
      <c r="B22" s="1454" t="s">
        <v>8</v>
      </c>
      <c r="C22" s="133" t="s">
        <v>8</v>
      </c>
      <c r="D22" s="133" t="s">
        <v>8</v>
      </c>
      <c r="E22" s="134" t="s">
        <v>8</v>
      </c>
      <c r="F22" s="133" t="s">
        <v>8</v>
      </c>
      <c r="G22" s="1453" t="s">
        <v>8</v>
      </c>
      <c r="H22" s="133" t="s">
        <v>8</v>
      </c>
      <c r="I22" s="133" t="s">
        <v>8</v>
      </c>
    </row>
    <row r="23" spans="1:9" ht="15.75" thickTop="1">
      <c r="A23" s="133" t="s">
        <v>8</v>
      </c>
      <c r="B23" s="1476" t="s">
        <v>8</v>
      </c>
      <c r="C23" s="1462" t="s">
        <v>8</v>
      </c>
      <c r="D23" s="1467" t="s">
        <v>294</v>
      </c>
      <c r="E23" s="1477" t="s">
        <v>8</v>
      </c>
      <c r="F23" s="1462" t="s">
        <v>8</v>
      </c>
      <c r="G23" s="1478" t="s">
        <v>8</v>
      </c>
      <c r="H23" s="1449" t="s">
        <v>8</v>
      </c>
      <c r="I23" s="133" t="s">
        <v>8</v>
      </c>
    </row>
    <row r="24" spans="1:9">
      <c r="A24" s="133" t="s">
        <v>8</v>
      </c>
      <c r="B24" s="1463">
        <v>1</v>
      </c>
      <c r="C24" s="1465" t="s">
        <v>190</v>
      </c>
      <c r="D24" s="1465" t="s">
        <v>326</v>
      </c>
      <c r="E24" s="1469">
        <v>10</v>
      </c>
      <c r="F24" s="1465" t="s">
        <v>327</v>
      </c>
      <c r="G24" s="1471">
        <v>6</v>
      </c>
      <c r="H24" s="1457" t="s">
        <v>55</v>
      </c>
      <c r="I24" s="133" t="s">
        <v>8</v>
      </c>
    </row>
    <row r="25" spans="1:9">
      <c r="A25" s="133" t="s">
        <v>8</v>
      </c>
      <c r="B25" s="1463">
        <v>2</v>
      </c>
      <c r="C25" s="1465" t="s">
        <v>190</v>
      </c>
      <c r="D25" s="1465" t="s">
        <v>328</v>
      </c>
      <c r="E25" s="1469">
        <v>10</v>
      </c>
      <c r="F25" s="1465" t="s">
        <v>329</v>
      </c>
      <c r="G25" s="1471">
        <v>6</v>
      </c>
      <c r="H25" s="1457" t="s">
        <v>55</v>
      </c>
      <c r="I25" s="133" t="s">
        <v>8</v>
      </c>
    </row>
    <row r="26" spans="1:9">
      <c r="A26" s="133" t="s">
        <v>8</v>
      </c>
      <c r="B26" s="1463">
        <v>3</v>
      </c>
      <c r="C26" s="1465" t="s">
        <v>190</v>
      </c>
      <c r="D26" s="1465" t="s">
        <v>330</v>
      </c>
      <c r="E26" s="1469">
        <v>10</v>
      </c>
      <c r="F26" s="1465" t="s">
        <v>331</v>
      </c>
      <c r="G26" s="1471">
        <v>6</v>
      </c>
      <c r="H26" s="1457" t="s">
        <v>55</v>
      </c>
      <c r="I26" s="133" t="s">
        <v>8</v>
      </c>
    </row>
    <row r="27" spans="1:9">
      <c r="A27" s="133" t="s">
        <v>8</v>
      </c>
      <c r="B27" s="1463">
        <v>4</v>
      </c>
      <c r="C27" s="1465" t="s">
        <v>38</v>
      </c>
      <c r="D27" s="1465" t="s">
        <v>332</v>
      </c>
      <c r="E27" s="1469">
        <v>10</v>
      </c>
      <c r="F27" s="1465" t="s">
        <v>333</v>
      </c>
      <c r="G27" s="1471">
        <v>3</v>
      </c>
      <c r="H27" s="1457" t="s">
        <v>55</v>
      </c>
      <c r="I27" s="133" t="s">
        <v>8</v>
      </c>
    </row>
    <row r="28" spans="1:9">
      <c r="A28" s="133" t="s">
        <v>8</v>
      </c>
      <c r="B28" s="1463">
        <v>5</v>
      </c>
      <c r="C28" s="1465" t="s">
        <v>38</v>
      </c>
      <c r="D28" s="1465" t="s">
        <v>334</v>
      </c>
      <c r="E28" s="1469">
        <v>10</v>
      </c>
      <c r="F28" s="1465" t="s">
        <v>335</v>
      </c>
      <c r="G28" s="1471">
        <v>3</v>
      </c>
      <c r="H28" s="1457" t="s">
        <v>55</v>
      </c>
      <c r="I28" s="133" t="s">
        <v>8</v>
      </c>
    </row>
    <row r="29" spans="1:9">
      <c r="A29" s="133" t="s">
        <v>8</v>
      </c>
      <c r="B29" s="1463">
        <v>6</v>
      </c>
      <c r="C29" s="1465" t="s">
        <v>38</v>
      </c>
      <c r="D29" s="1465" t="s">
        <v>336</v>
      </c>
      <c r="E29" s="1469">
        <v>10</v>
      </c>
      <c r="F29" s="1465" t="s">
        <v>337</v>
      </c>
      <c r="G29" s="1471">
        <v>3</v>
      </c>
      <c r="H29" s="1457" t="s">
        <v>55</v>
      </c>
      <c r="I29" s="133" t="s">
        <v>8</v>
      </c>
    </row>
    <row r="30" spans="1:9">
      <c r="A30" s="133" t="s">
        <v>8</v>
      </c>
      <c r="B30" s="1463">
        <v>7</v>
      </c>
      <c r="C30" s="1465" t="s">
        <v>38</v>
      </c>
      <c r="D30" s="1465" t="s">
        <v>338</v>
      </c>
      <c r="E30" s="1469">
        <v>10</v>
      </c>
      <c r="F30" s="1465" t="s">
        <v>339</v>
      </c>
      <c r="G30" s="1471">
        <v>3</v>
      </c>
      <c r="H30" s="1457" t="s">
        <v>55</v>
      </c>
      <c r="I30" s="133" t="s">
        <v>8</v>
      </c>
    </row>
    <row r="31" spans="1:9">
      <c r="A31" s="133" t="s">
        <v>8</v>
      </c>
      <c r="B31" s="1463">
        <v>8</v>
      </c>
      <c r="C31" s="1465" t="s">
        <v>38</v>
      </c>
      <c r="D31" s="1465" t="s">
        <v>340</v>
      </c>
      <c r="E31" s="1469">
        <v>10</v>
      </c>
      <c r="F31" s="1465" t="s">
        <v>341</v>
      </c>
      <c r="G31" s="1471">
        <v>3</v>
      </c>
      <c r="H31" s="1457" t="s">
        <v>55</v>
      </c>
      <c r="I31" s="133" t="s">
        <v>8</v>
      </c>
    </row>
    <row r="32" spans="1:9">
      <c r="A32" s="133" t="s">
        <v>8</v>
      </c>
      <c r="B32" s="1463">
        <v>9</v>
      </c>
      <c r="C32" s="1465" t="s">
        <v>38</v>
      </c>
      <c r="D32" s="1465" t="s">
        <v>336</v>
      </c>
      <c r="E32" s="1469">
        <v>4500</v>
      </c>
      <c r="F32" s="1465" t="s">
        <v>337</v>
      </c>
      <c r="G32" s="1471">
        <v>3</v>
      </c>
      <c r="H32" s="1457" t="s">
        <v>55</v>
      </c>
      <c r="I32" s="133" t="s">
        <v>8</v>
      </c>
    </row>
    <row r="33" spans="1:9">
      <c r="A33" s="133" t="s">
        <v>8</v>
      </c>
      <c r="B33" s="1463">
        <v>10</v>
      </c>
      <c r="C33" s="1465" t="s">
        <v>38</v>
      </c>
      <c r="D33" s="1465" t="s">
        <v>334</v>
      </c>
      <c r="E33" s="1469">
        <v>17000</v>
      </c>
      <c r="F33" s="1465" t="s">
        <v>335</v>
      </c>
      <c r="G33" s="1471">
        <v>3</v>
      </c>
      <c r="H33" s="1457" t="s">
        <v>55</v>
      </c>
      <c r="I33" s="133" t="s">
        <v>8</v>
      </c>
    </row>
    <row r="34" spans="1:9">
      <c r="A34" s="133" t="s">
        <v>8</v>
      </c>
      <c r="B34" s="1463">
        <v>11</v>
      </c>
      <c r="C34" s="1465" t="s">
        <v>56</v>
      </c>
      <c r="D34" s="1465" t="s">
        <v>342</v>
      </c>
      <c r="E34" s="1469">
        <v>10</v>
      </c>
      <c r="F34" s="1465" t="s">
        <v>343</v>
      </c>
      <c r="G34" s="1471">
        <v>2</v>
      </c>
      <c r="H34" s="1457" t="s">
        <v>55</v>
      </c>
      <c r="I34" s="133" t="s">
        <v>8</v>
      </c>
    </row>
    <row r="35" spans="1:9">
      <c r="A35" s="133" t="s">
        <v>8</v>
      </c>
      <c r="B35" s="1463">
        <v>12</v>
      </c>
      <c r="C35" s="1465" t="s">
        <v>56</v>
      </c>
      <c r="D35" s="1465" t="s">
        <v>344</v>
      </c>
      <c r="E35" s="1469">
        <v>10</v>
      </c>
      <c r="F35" s="1465" t="s">
        <v>345</v>
      </c>
      <c r="G35" s="1471">
        <v>2</v>
      </c>
      <c r="H35" s="1457" t="s">
        <v>55</v>
      </c>
      <c r="I35" s="133" t="s">
        <v>8</v>
      </c>
    </row>
    <row r="36" spans="1:9">
      <c r="A36" s="133" t="s">
        <v>8</v>
      </c>
      <c r="B36" s="1463">
        <v>13</v>
      </c>
      <c r="C36" s="1465" t="s">
        <v>48</v>
      </c>
      <c r="D36" s="1465" t="s">
        <v>346</v>
      </c>
      <c r="E36" s="1469">
        <v>10</v>
      </c>
      <c r="F36" s="1465" t="s">
        <v>347</v>
      </c>
      <c r="G36" s="1471">
        <v>1</v>
      </c>
      <c r="H36" s="1457" t="s">
        <v>55</v>
      </c>
      <c r="I36" s="133" t="s">
        <v>8</v>
      </c>
    </row>
    <row r="37" spans="1:9">
      <c r="A37" s="133" t="s">
        <v>8</v>
      </c>
      <c r="B37" s="1463">
        <v>14</v>
      </c>
      <c r="C37" s="1465" t="s">
        <v>48</v>
      </c>
      <c r="D37" s="1465" t="s">
        <v>348</v>
      </c>
      <c r="E37" s="1469">
        <v>10</v>
      </c>
      <c r="F37" s="1465" t="s">
        <v>349</v>
      </c>
      <c r="G37" s="1471">
        <v>1</v>
      </c>
      <c r="H37" s="1457" t="s">
        <v>55</v>
      </c>
      <c r="I37" s="133" t="s">
        <v>8</v>
      </c>
    </row>
    <row r="38" spans="1:9">
      <c r="A38" s="133" t="s">
        <v>8</v>
      </c>
      <c r="B38" s="1463">
        <v>15</v>
      </c>
      <c r="C38" s="1465" t="s">
        <v>48</v>
      </c>
      <c r="D38" s="1465" t="s">
        <v>346</v>
      </c>
      <c r="E38" s="1469">
        <v>5800.75</v>
      </c>
      <c r="F38" s="1465" t="s">
        <v>347</v>
      </c>
      <c r="G38" s="1471">
        <v>1</v>
      </c>
      <c r="H38" s="1457" t="s">
        <v>55</v>
      </c>
      <c r="I38" s="133" t="s">
        <v>8</v>
      </c>
    </row>
    <row r="39" spans="1:9">
      <c r="A39" s="133" t="s">
        <v>8</v>
      </c>
      <c r="B39" s="1463" t="s">
        <v>8</v>
      </c>
      <c r="C39" s="1465" t="s">
        <v>8</v>
      </c>
      <c r="D39" s="1465" t="s">
        <v>8</v>
      </c>
      <c r="E39" s="1469" t="s">
        <v>8</v>
      </c>
      <c r="F39" s="1465" t="s">
        <v>8</v>
      </c>
      <c r="G39" s="1471" t="s">
        <v>8</v>
      </c>
      <c r="H39" s="1457" t="s">
        <v>8</v>
      </c>
      <c r="I39" s="133" t="s">
        <v>8</v>
      </c>
    </row>
    <row r="40" spans="1:9" ht="15.75" thickBot="1">
      <c r="A40" s="133" t="s">
        <v>8</v>
      </c>
      <c r="B40" s="1464" t="s">
        <v>8</v>
      </c>
      <c r="C40" s="1466" t="s">
        <v>8</v>
      </c>
      <c r="D40" s="1468" t="s">
        <v>51</v>
      </c>
      <c r="E40" s="1470">
        <f>SUM($E$24:$E$39)</f>
        <v>27420.75</v>
      </c>
      <c r="F40" s="1466" t="s">
        <v>8</v>
      </c>
      <c r="G40" s="1472" t="s">
        <v>8</v>
      </c>
      <c r="H40" s="1452" t="s">
        <v>8</v>
      </c>
      <c r="I40" s="133" t="s">
        <v>8</v>
      </c>
    </row>
    <row r="41" spans="1:9" ht="15.75" thickTop="1">
      <c r="A41" s="133" t="s">
        <v>8</v>
      </c>
      <c r="B41" s="1454" t="s">
        <v>8</v>
      </c>
      <c r="C41" s="133" t="s">
        <v>8</v>
      </c>
      <c r="D41" s="133" t="s">
        <v>8</v>
      </c>
      <c r="E41" s="134" t="s">
        <v>8</v>
      </c>
      <c r="F41" s="133" t="s">
        <v>8</v>
      </c>
      <c r="G41" s="1453" t="s">
        <v>8</v>
      </c>
      <c r="H41" s="133" t="s">
        <v>8</v>
      </c>
      <c r="I41" s="133" t="s">
        <v>8</v>
      </c>
    </row>
    <row r="42" spans="1:9" ht="15.75" thickBot="1">
      <c r="A42" s="133" t="s">
        <v>8</v>
      </c>
      <c r="B42" s="1454" t="s">
        <v>8</v>
      </c>
      <c r="C42" s="133" t="s">
        <v>8</v>
      </c>
      <c r="D42" s="133" t="s">
        <v>8</v>
      </c>
      <c r="E42" s="134" t="s">
        <v>8</v>
      </c>
      <c r="F42" s="133" t="s">
        <v>8</v>
      </c>
      <c r="G42" s="1453" t="s">
        <v>8</v>
      </c>
      <c r="H42" s="133" t="s">
        <v>8</v>
      </c>
      <c r="I42" s="133" t="s">
        <v>8</v>
      </c>
    </row>
    <row r="43" spans="1:9" ht="15.75" thickTop="1">
      <c r="A43" s="133" t="s">
        <v>8</v>
      </c>
      <c r="B43" s="1476" t="s">
        <v>8</v>
      </c>
      <c r="C43" s="1462" t="s">
        <v>8</v>
      </c>
      <c r="D43" s="1467" t="s">
        <v>309</v>
      </c>
      <c r="E43" s="1477" t="s">
        <v>8</v>
      </c>
      <c r="F43" s="1462" t="s">
        <v>8</v>
      </c>
      <c r="G43" s="1478" t="s">
        <v>8</v>
      </c>
      <c r="H43" s="1449" t="s">
        <v>8</v>
      </c>
      <c r="I43" s="133" t="s">
        <v>8</v>
      </c>
    </row>
    <row r="44" spans="1:9">
      <c r="A44" s="133" t="s">
        <v>8</v>
      </c>
      <c r="B44" s="1463" t="s">
        <v>8</v>
      </c>
      <c r="C44" s="1465" t="s">
        <v>8</v>
      </c>
      <c r="D44" s="1465" t="s">
        <v>8</v>
      </c>
      <c r="E44" s="1469" t="s">
        <v>8</v>
      </c>
      <c r="F44" s="1465" t="s">
        <v>8</v>
      </c>
      <c r="G44" s="1471" t="s">
        <v>8</v>
      </c>
      <c r="H44" s="1457" t="s">
        <v>8</v>
      </c>
      <c r="I44" s="133" t="s">
        <v>8</v>
      </c>
    </row>
    <row r="45" spans="1:9">
      <c r="A45" s="133" t="s">
        <v>8</v>
      </c>
      <c r="B45" s="1463" t="s">
        <v>8</v>
      </c>
      <c r="C45" s="1465" t="s">
        <v>8</v>
      </c>
      <c r="D45" s="1465" t="s">
        <v>8</v>
      </c>
      <c r="E45" s="1469" t="s">
        <v>8</v>
      </c>
      <c r="F45" s="1465" t="s">
        <v>8</v>
      </c>
      <c r="G45" s="1471" t="s">
        <v>8</v>
      </c>
      <c r="H45" s="1457" t="s">
        <v>8</v>
      </c>
      <c r="I45" s="133" t="s">
        <v>8</v>
      </c>
    </row>
    <row r="46" spans="1:9" ht="15.75" thickBot="1">
      <c r="A46" s="133" t="s">
        <v>8</v>
      </c>
      <c r="B46" s="1464" t="s">
        <v>8</v>
      </c>
      <c r="C46" s="1466" t="s">
        <v>8</v>
      </c>
      <c r="D46" s="1468" t="s">
        <v>51</v>
      </c>
      <c r="E46" s="1470">
        <f>SUM($E$44:$E$45)</f>
        <v>0</v>
      </c>
      <c r="F46" s="1466" t="s">
        <v>8</v>
      </c>
      <c r="G46" s="1472" t="s">
        <v>8</v>
      </c>
      <c r="H46" s="1452" t="s">
        <v>8</v>
      </c>
      <c r="I46" s="133" t="s">
        <v>8</v>
      </c>
    </row>
    <row r="47" spans="1:9" ht="15.75" thickTop="1">
      <c r="A47" s="133" t="s">
        <v>8</v>
      </c>
      <c r="B47" s="1454" t="s">
        <v>8</v>
      </c>
      <c r="C47" s="133" t="s">
        <v>8</v>
      </c>
      <c r="D47" s="133" t="s">
        <v>8</v>
      </c>
      <c r="E47" s="134" t="s">
        <v>8</v>
      </c>
      <c r="F47" s="133" t="s">
        <v>8</v>
      </c>
      <c r="G47" s="1453" t="s">
        <v>8</v>
      </c>
      <c r="H47" s="133" t="s">
        <v>8</v>
      </c>
      <c r="I47" s="133" t="s">
        <v>8</v>
      </c>
    </row>
    <row r="48" spans="1:9" ht="15.75" thickBot="1">
      <c r="A48" s="133" t="s">
        <v>8</v>
      </c>
      <c r="B48" s="1454" t="s">
        <v>8</v>
      </c>
      <c r="C48" s="133" t="s">
        <v>8</v>
      </c>
      <c r="D48" s="133" t="s">
        <v>8</v>
      </c>
      <c r="E48" s="134" t="s">
        <v>8</v>
      </c>
      <c r="F48" s="133" t="s">
        <v>8</v>
      </c>
      <c r="G48" s="1453" t="s">
        <v>8</v>
      </c>
      <c r="H48" s="133" t="s">
        <v>8</v>
      </c>
      <c r="I48" s="133" t="s">
        <v>8</v>
      </c>
    </row>
    <row r="49" spans="1:9" ht="15.75" thickTop="1">
      <c r="A49" s="133" t="s">
        <v>8</v>
      </c>
      <c r="B49" s="1476" t="s">
        <v>8</v>
      </c>
      <c r="C49" s="1462" t="s">
        <v>8</v>
      </c>
      <c r="D49" s="1467" t="s">
        <v>312</v>
      </c>
      <c r="E49" s="1477" t="s">
        <v>8</v>
      </c>
      <c r="F49" s="1462" t="s">
        <v>8</v>
      </c>
      <c r="G49" s="1478" t="s">
        <v>8</v>
      </c>
      <c r="H49" s="1449" t="s">
        <v>8</v>
      </c>
      <c r="I49" s="133" t="s">
        <v>8</v>
      </c>
    </row>
    <row r="50" spans="1:9">
      <c r="A50" s="133" t="s">
        <v>8</v>
      </c>
      <c r="B50" s="1463">
        <v>1</v>
      </c>
      <c r="C50" s="1465" t="s">
        <v>27</v>
      </c>
      <c r="D50" s="1465" t="s">
        <v>350</v>
      </c>
      <c r="E50" s="1469">
        <v>2565</v>
      </c>
      <c r="F50" s="1465" t="s">
        <v>351</v>
      </c>
      <c r="G50" s="1471">
        <v>0</v>
      </c>
      <c r="H50" s="1457" t="s">
        <v>96</v>
      </c>
      <c r="I50" s="133" t="s">
        <v>8</v>
      </c>
    </row>
    <row r="51" spans="1:9">
      <c r="A51" s="133" t="s">
        <v>8</v>
      </c>
      <c r="B51" s="1463" t="s">
        <v>8</v>
      </c>
      <c r="C51" s="1465" t="s">
        <v>8</v>
      </c>
      <c r="D51" s="1465" t="s">
        <v>8</v>
      </c>
      <c r="E51" s="1469" t="s">
        <v>8</v>
      </c>
      <c r="F51" s="1465" t="s">
        <v>8</v>
      </c>
      <c r="G51" s="1471" t="s">
        <v>8</v>
      </c>
      <c r="H51" s="1457" t="s">
        <v>8</v>
      </c>
      <c r="I51" s="133" t="s">
        <v>8</v>
      </c>
    </row>
    <row r="52" spans="1:9" ht="15.75" thickBot="1">
      <c r="A52" s="133" t="s">
        <v>8</v>
      </c>
      <c r="B52" s="1464" t="s">
        <v>8</v>
      </c>
      <c r="C52" s="1466" t="s">
        <v>8</v>
      </c>
      <c r="D52" s="1468" t="s">
        <v>51</v>
      </c>
      <c r="E52" s="1470">
        <f>SUM($E$50:$E$51)</f>
        <v>2565</v>
      </c>
      <c r="F52" s="1466" t="s">
        <v>8</v>
      </c>
      <c r="G52" s="1472" t="s">
        <v>8</v>
      </c>
      <c r="H52" s="1452" t="s">
        <v>8</v>
      </c>
      <c r="I52" s="133" t="s">
        <v>8</v>
      </c>
    </row>
    <row r="53" spans="1:9" ht="16.5" thickTop="1" thickBot="1">
      <c r="A53" s="133" t="s">
        <v>8</v>
      </c>
      <c r="B53" s="1454" t="s">
        <v>8</v>
      </c>
      <c r="C53" s="133" t="s">
        <v>8</v>
      </c>
      <c r="D53" s="133" t="s">
        <v>8</v>
      </c>
      <c r="E53" s="134" t="s">
        <v>8</v>
      </c>
      <c r="F53" s="133" t="s">
        <v>8</v>
      </c>
      <c r="G53" s="1453" t="s">
        <v>8</v>
      </c>
      <c r="H53" s="133" t="s">
        <v>8</v>
      </c>
      <c r="I53" s="133" t="s">
        <v>8</v>
      </c>
    </row>
    <row r="54" spans="1:9" ht="15.75" thickTop="1">
      <c r="A54" s="133" t="s">
        <v>8</v>
      </c>
      <c r="B54" s="1473" t="s">
        <v>8</v>
      </c>
      <c r="C54" s="1448" t="s">
        <v>8</v>
      </c>
      <c r="D54" s="1448" t="s">
        <v>8</v>
      </c>
      <c r="E54" s="1474" t="s">
        <v>8</v>
      </c>
      <c r="F54" s="1448" t="s">
        <v>8</v>
      </c>
      <c r="G54" s="1475" t="s">
        <v>8</v>
      </c>
      <c r="H54" s="1449" t="s">
        <v>8</v>
      </c>
      <c r="I54" s="133" t="s">
        <v>8</v>
      </c>
    </row>
    <row r="55" spans="1:9">
      <c r="A55" s="133" t="s">
        <v>8</v>
      </c>
      <c r="B55" s="1456" t="s">
        <v>8</v>
      </c>
      <c r="C55" s="2127" t="s">
        <v>8</v>
      </c>
      <c r="D55" s="2129" t="s">
        <v>114</v>
      </c>
      <c r="E55" s="2128">
        <f>ABS(E13+$E$20-$E$52+$E$40-$E$46)</f>
        <v>345000.51</v>
      </c>
      <c r="F55" s="2127" t="s">
        <v>8</v>
      </c>
      <c r="G55" s="2131" t="s">
        <v>8</v>
      </c>
      <c r="H55" s="1457" t="s">
        <v>8</v>
      </c>
      <c r="I55" s="133" t="s">
        <v>8</v>
      </c>
    </row>
    <row r="56" spans="1:9">
      <c r="A56" s="133" t="s">
        <v>8</v>
      </c>
      <c r="B56" s="1456" t="s">
        <v>8</v>
      </c>
      <c r="C56" s="2127" t="s">
        <v>8</v>
      </c>
      <c r="D56" s="2129" t="s">
        <v>115</v>
      </c>
      <c r="E56" s="2128">
        <v>345000.51</v>
      </c>
      <c r="F56" s="2127" t="s">
        <v>8</v>
      </c>
      <c r="G56" s="2131" t="s">
        <v>8</v>
      </c>
      <c r="H56" s="1457" t="s">
        <v>8</v>
      </c>
      <c r="I56" s="133" t="s">
        <v>116</v>
      </c>
    </row>
    <row r="57" spans="1:9" ht="15.75" thickBot="1">
      <c r="A57" s="133" t="s">
        <v>8</v>
      </c>
      <c r="B57" s="1458" t="s">
        <v>8</v>
      </c>
      <c r="C57" s="1451" t="s">
        <v>8</v>
      </c>
      <c r="D57" s="1459" t="s">
        <v>117</v>
      </c>
      <c r="E57" s="1460">
        <f>$E$56-$E$55</f>
        <v>0</v>
      </c>
      <c r="F57" s="1451" t="s">
        <v>8</v>
      </c>
      <c r="G57" s="1461" t="s">
        <v>8</v>
      </c>
      <c r="H57" s="1452" t="s">
        <v>8</v>
      </c>
      <c r="I57" s="133" t="s">
        <v>8</v>
      </c>
    </row>
    <row r="58" spans="1:9" ht="16.5" thickTop="1" thickBot="1">
      <c r="A58" s="133" t="s">
        <v>8</v>
      </c>
      <c r="B58" s="1454" t="s">
        <v>8</v>
      </c>
      <c r="C58" s="133" t="s">
        <v>8</v>
      </c>
      <c r="D58" s="133" t="s">
        <v>8</v>
      </c>
      <c r="E58" s="134" t="s">
        <v>8</v>
      </c>
      <c r="F58" s="133" t="s">
        <v>8</v>
      </c>
      <c r="G58" s="1453" t="s">
        <v>8</v>
      </c>
      <c r="H58" s="133" t="s">
        <v>8</v>
      </c>
      <c r="I58" s="133" t="s">
        <v>8</v>
      </c>
    </row>
    <row r="59" spans="1:9" ht="15.75" thickTop="1">
      <c r="A59" s="133" t="s">
        <v>8</v>
      </c>
      <c r="B59" s="1473" t="s">
        <v>8</v>
      </c>
      <c r="C59" s="1448" t="s">
        <v>8</v>
      </c>
      <c r="D59" s="1455" t="s">
        <v>118</v>
      </c>
      <c r="E59" s="1479" t="s">
        <v>119</v>
      </c>
      <c r="F59" s="1455" t="s">
        <v>120</v>
      </c>
      <c r="G59" s="1475">
        <v>45981</v>
      </c>
      <c r="H59" s="1449" t="s">
        <v>8</v>
      </c>
      <c r="I59" s="133" t="s">
        <v>8</v>
      </c>
    </row>
    <row r="60" spans="1:9">
      <c r="A60" s="133" t="s">
        <v>8</v>
      </c>
      <c r="B60" s="1456" t="s">
        <v>8</v>
      </c>
      <c r="C60" s="2127" t="s">
        <v>8</v>
      </c>
      <c r="D60" s="2127" t="s">
        <v>8</v>
      </c>
      <c r="E60" s="2130" t="s">
        <v>8</v>
      </c>
      <c r="F60" s="2127" t="s">
        <v>8</v>
      </c>
      <c r="G60" s="2131" t="s">
        <v>8</v>
      </c>
      <c r="H60" s="1457" t="s">
        <v>8</v>
      </c>
      <c r="I60" s="133" t="s">
        <v>8</v>
      </c>
    </row>
    <row r="61" spans="1:9">
      <c r="A61" s="133" t="s">
        <v>8</v>
      </c>
      <c r="B61" s="1456" t="s">
        <v>8</v>
      </c>
      <c r="C61" s="2127" t="s">
        <v>8</v>
      </c>
      <c r="D61" s="2127" t="s">
        <v>8</v>
      </c>
      <c r="E61" s="2130" t="s">
        <v>8</v>
      </c>
      <c r="F61" s="2127" t="s">
        <v>8</v>
      </c>
      <c r="G61" s="2131" t="s">
        <v>8</v>
      </c>
      <c r="H61" s="1457" t="s">
        <v>8</v>
      </c>
      <c r="I61" s="133" t="s">
        <v>8</v>
      </c>
    </row>
    <row r="62" spans="1:9">
      <c r="A62" s="133" t="s">
        <v>8</v>
      </c>
      <c r="B62" s="1456" t="s">
        <v>8</v>
      </c>
      <c r="C62" s="2127" t="s">
        <v>8</v>
      </c>
      <c r="D62" s="2129" t="s">
        <v>121</v>
      </c>
      <c r="E62" s="2128" t="s">
        <v>8</v>
      </c>
      <c r="F62" s="2129" t="s">
        <v>120</v>
      </c>
      <c r="G62" s="2131" t="s">
        <v>8</v>
      </c>
      <c r="H62" s="1457" t="s">
        <v>8</v>
      </c>
      <c r="I62" s="133" t="s">
        <v>8</v>
      </c>
    </row>
    <row r="63" spans="1:9">
      <c r="B63" s="180"/>
      <c r="C63" s="1919"/>
      <c r="D63" s="1919"/>
      <c r="E63" s="1919"/>
      <c r="F63" s="1919"/>
      <c r="G63" s="1919"/>
      <c r="H63" s="181"/>
    </row>
    <row r="64" spans="1:9" ht="15.75" thickBot="1">
      <c r="B64" s="182"/>
      <c r="C64" s="183"/>
      <c r="D64" s="183"/>
      <c r="E64" s="183"/>
      <c r="F64" s="183"/>
      <c r="G64" s="183"/>
      <c r="H64" s="184"/>
    </row>
    <row r="65" ht="15.75" thickTop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showGridLines="0" topLeftCell="A23" workbookViewId="0">
      <selection activeCell="D33" sqref="D33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3.85546875" bestFit="1" customWidth="1"/>
    <col min="5" max="5" width="24.5703125" bestFit="1" customWidth="1"/>
    <col min="6" max="6" width="44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38" t="s">
        <v>0</v>
      </c>
      <c r="B1" s="138" t="s">
        <v>1</v>
      </c>
      <c r="C1" s="138" t="s">
        <v>2</v>
      </c>
      <c r="D1" s="138" t="s">
        <v>3</v>
      </c>
      <c r="E1" s="138" t="s">
        <v>4</v>
      </c>
      <c r="F1" s="138" t="s">
        <v>5</v>
      </c>
      <c r="G1" s="138" t="s">
        <v>6</v>
      </c>
      <c r="H1" s="138" t="s">
        <v>7</v>
      </c>
      <c r="I1" s="138" t="s">
        <v>196</v>
      </c>
    </row>
    <row r="2" spans="1:9">
      <c r="A2" s="136" t="s">
        <v>8</v>
      </c>
      <c r="B2" s="136" t="s">
        <v>8</v>
      </c>
      <c r="C2" s="136" t="s">
        <v>8</v>
      </c>
      <c r="D2" s="136" t="s">
        <v>8</v>
      </c>
      <c r="E2" s="136" t="s">
        <v>8</v>
      </c>
      <c r="F2" s="136" t="s">
        <v>8</v>
      </c>
      <c r="G2" s="136" t="s">
        <v>8</v>
      </c>
      <c r="H2" s="136" t="s">
        <v>8</v>
      </c>
      <c r="I2" s="136" t="s">
        <v>8</v>
      </c>
    </row>
    <row r="3" spans="1:9" ht="15.75" thickBot="1">
      <c r="A3" s="136" t="s">
        <v>8</v>
      </c>
      <c r="B3" s="136" t="s">
        <v>8</v>
      </c>
      <c r="C3" s="136" t="s">
        <v>8</v>
      </c>
      <c r="D3" s="136" t="s">
        <v>8</v>
      </c>
      <c r="E3" s="136" t="s">
        <v>8</v>
      </c>
      <c r="F3" s="136" t="s">
        <v>8</v>
      </c>
      <c r="G3" s="136" t="s">
        <v>8</v>
      </c>
      <c r="H3" s="136" t="s">
        <v>8</v>
      </c>
      <c r="I3" s="136" t="s">
        <v>8</v>
      </c>
    </row>
    <row r="4" spans="1:9" ht="16.5" thickTop="1" thickBot="1">
      <c r="A4" s="136" t="s">
        <v>8</v>
      </c>
      <c r="B4" s="136" t="s">
        <v>14</v>
      </c>
      <c r="C4" s="136" t="s">
        <v>8</v>
      </c>
      <c r="D4" s="1481" t="s">
        <v>15</v>
      </c>
      <c r="E4" s="136" t="s">
        <v>16</v>
      </c>
      <c r="F4" s="1481" t="s">
        <v>352</v>
      </c>
      <c r="G4" s="136" t="s">
        <v>8</v>
      </c>
      <c r="H4" s="136" t="s">
        <v>8</v>
      </c>
      <c r="I4" s="136" t="s">
        <v>8</v>
      </c>
    </row>
    <row r="5" spans="1:9" ht="16.5" thickTop="1" thickBot="1">
      <c r="A5" s="136" t="s">
        <v>8</v>
      </c>
      <c r="B5" s="136" t="s">
        <v>8</v>
      </c>
      <c r="C5" s="136" t="s">
        <v>8</v>
      </c>
      <c r="D5" s="136" t="s">
        <v>8</v>
      </c>
      <c r="E5" s="136" t="s">
        <v>8</v>
      </c>
      <c r="F5" s="136" t="s">
        <v>8</v>
      </c>
      <c r="G5" s="136" t="s">
        <v>8</v>
      </c>
      <c r="H5" s="136" t="s">
        <v>8</v>
      </c>
      <c r="I5" s="136" t="s">
        <v>8</v>
      </c>
    </row>
    <row r="6" spans="1:9" ht="16.5" thickTop="1" thickBot="1">
      <c r="A6" s="136" t="s">
        <v>8</v>
      </c>
      <c r="B6" s="136" t="s">
        <v>18</v>
      </c>
      <c r="C6" s="136" t="s">
        <v>8</v>
      </c>
      <c r="D6" s="1481" t="s">
        <v>19</v>
      </c>
      <c r="E6" s="136" t="s">
        <v>20</v>
      </c>
      <c r="F6" s="1481" t="s">
        <v>353</v>
      </c>
      <c r="G6" s="136" t="s">
        <v>8</v>
      </c>
      <c r="H6" s="136" t="s">
        <v>8</v>
      </c>
      <c r="I6" s="136" t="s">
        <v>8</v>
      </c>
    </row>
    <row r="7" spans="1:9" ht="16.5" thickTop="1" thickBot="1">
      <c r="A7" s="136" t="s">
        <v>8</v>
      </c>
      <c r="B7" s="136" t="s">
        <v>8</v>
      </c>
      <c r="C7" s="136" t="s">
        <v>8</v>
      </c>
      <c r="D7" s="136" t="s">
        <v>8</v>
      </c>
      <c r="E7" s="136" t="s">
        <v>8</v>
      </c>
      <c r="F7" s="136" t="s">
        <v>8</v>
      </c>
      <c r="G7" s="136" t="s">
        <v>8</v>
      </c>
      <c r="H7" s="136" t="s">
        <v>8</v>
      </c>
      <c r="I7" s="136" t="s">
        <v>8</v>
      </c>
    </row>
    <row r="8" spans="1:9" ht="16.5" thickTop="1" thickBot="1">
      <c r="A8" s="136" t="s">
        <v>8</v>
      </c>
      <c r="B8" s="136" t="s">
        <v>22</v>
      </c>
      <c r="C8" s="136" t="s">
        <v>8</v>
      </c>
      <c r="D8" s="1481" t="s">
        <v>11</v>
      </c>
      <c r="E8" s="136" t="s">
        <v>23</v>
      </c>
      <c r="F8" s="1481" t="s">
        <v>354</v>
      </c>
      <c r="G8" s="136" t="s">
        <v>8</v>
      </c>
      <c r="H8" s="136" t="s">
        <v>8</v>
      </c>
      <c r="I8" s="136" t="s">
        <v>8</v>
      </c>
    </row>
    <row r="9" spans="1:9" ht="16.5" thickTop="1" thickBot="1">
      <c r="A9" s="136" t="s">
        <v>8</v>
      </c>
      <c r="B9" s="136" t="s">
        <v>8</v>
      </c>
      <c r="C9" s="136" t="s">
        <v>8</v>
      </c>
      <c r="D9" s="136" t="s">
        <v>8</v>
      </c>
      <c r="E9" s="136" t="s">
        <v>8</v>
      </c>
      <c r="F9" s="136" t="s">
        <v>8</v>
      </c>
      <c r="G9" s="136" t="s">
        <v>8</v>
      </c>
      <c r="H9" s="136" t="s">
        <v>8</v>
      </c>
      <c r="I9" s="136" t="s">
        <v>8</v>
      </c>
    </row>
    <row r="10" spans="1:9" ht="16.5" thickTop="1" thickBot="1">
      <c r="A10" s="136" t="s">
        <v>8</v>
      </c>
      <c r="B10" s="136" t="s">
        <v>25</v>
      </c>
      <c r="C10" s="136" t="s">
        <v>8</v>
      </c>
      <c r="D10" s="1481" t="s">
        <v>26</v>
      </c>
      <c r="E10" s="136" t="s">
        <v>8</v>
      </c>
      <c r="F10" s="136" t="s">
        <v>8</v>
      </c>
      <c r="G10" s="136" t="s">
        <v>8</v>
      </c>
      <c r="H10" s="136" t="s">
        <v>8</v>
      </c>
      <c r="I10" s="136" t="s">
        <v>8</v>
      </c>
    </row>
    <row r="11" spans="1:9" ht="16.5" thickTop="1" thickBot="1">
      <c r="A11" s="136" t="s">
        <v>8</v>
      </c>
      <c r="B11" s="136" t="s">
        <v>8</v>
      </c>
      <c r="C11" s="136" t="s">
        <v>8</v>
      </c>
      <c r="D11" s="136" t="s">
        <v>8</v>
      </c>
      <c r="E11" s="136" t="s">
        <v>8</v>
      </c>
      <c r="F11" s="136" t="s">
        <v>8</v>
      </c>
      <c r="G11" s="136" t="s">
        <v>8</v>
      </c>
      <c r="H11" s="136" t="s">
        <v>8</v>
      </c>
      <c r="I11" s="136" t="s">
        <v>8</v>
      </c>
    </row>
    <row r="12" spans="1:9" ht="16.5" thickTop="1" thickBot="1">
      <c r="A12" s="136" t="s">
        <v>8</v>
      </c>
      <c r="B12" s="1482" t="s">
        <v>8</v>
      </c>
      <c r="C12" s="1483" t="s">
        <v>8</v>
      </c>
      <c r="D12" s="1483" t="s">
        <v>8</v>
      </c>
      <c r="E12" s="1483" t="s">
        <v>8</v>
      </c>
      <c r="F12" s="1483" t="s">
        <v>8</v>
      </c>
      <c r="G12" s="1483" t="s">
        <v>8</v>
      </c>
      <c r="H12" s="1484" t="s">
        <v>8</v>
      </c>
      <c r="I12" s="136" t="s">
        <v>8</v>
      </c>
    </row>
    <row r="13" spans="1:9" ht="16.5" thickTop="1" thickBot="1">
      <c r="A13" s="136" t="s">
        <v>8</v>
      </c>
      <c r="B13" s="1485" t="s">
        <v>8</v>
      </c>
      <c r="C13" s="1480" t="s">
        <v>11</v>
      </c>
      <c r="D13" s="1486" t="s">
        <v>28</v>
      </c>
      <c r="E13" s="1495">
        <v>14016043.02</v>
      </c>
      <c r="F13" s="1486" t="s">
        <v>8</v>
      </c>
      <c r="G13" s="1486" t="s">
        <v>8</v>
      </c>
      <c r="H13" s="1487" t="s">
        <v>8</v>
      </c>
      <c r="I13" s="136" t="s">
        <v>29</v>
      </c>
    </row>
    <row r="14" spans="1:9" ht="16.5" thickTop="1" thickBot="1">
      <c r="A14" s="136" t="s">
        <v>8</v>
      </c>
      <c r="B14" s="136" t="s">
        <v>8</v>
      </c>
      <c r="C14" s="136" t="s">
        <v>8</v>
      </c>
      <c r="D14" s="136" t="s">
        <v>8</v>
      </c>
      <c r="E14" s="136" t="s">
        <v>8</v>
      </c>
      <c r="F14" s="136" t="s">
        <v>8</v>
      </c>
      <c r="G14" s="136" t="s">
        <v>8</v>
      </c>
      <c r="H14" s="136" t="s">
        <v>8</v>
      </c>
      <c r="I14" s="136" t="s">
        <v>8</v>
      </c>
    </row>
    <row r="15" spans="1:9" ht="16.5" thickTop="1" thickBot="1">
      <c r="A15" s="136" t="s">
        <v>8</v>
      </c>
      <c r="B15" s="1481" t="s">
        <v>30</v>
      </c>
      <c r="C15" s="1480" t="s">
        <v>31</v>
      </c>
      <c r="D15" s="1480" t="s">
        <v>32</v>
      </c>
      <c r="E15" s="1480" t="s">
        <v>33</v>
      </c>
      <c r="F15" s="1480" t="s">
        <v>34</v>
      </c>
      <c r="G15" s="1480" t="s">
        <v>35</v>
      </c>
      <c r="H15" s="1480" t="s">
        <v>36</v>
      </c>
      <c r="I15" s="136" t="s">
        <v>8</v>
      </c>
    </row>
    <row r="16" spans="1:9" ht="16.5" thickTop="1" thickBot="1">
      <c r="A16" s="136" t="s">
        <v>8</v>
      </c>
      <c r="B16" s="136" t="s">
        <v>8</v>
      </c>
      <c r="C16" s="136" t="s">
        <v>8</v>
      </c>
      <c r="D16" s="136" t="s">
        <v>8</v>
      </c>
      <c r="E16" s="136" t="s">
        <v>8</v>
      </c>
      <c r="F16" s="136" t="s">
        <v>8</v>
      </c>
      <c r="G16" s="136" t="s">
        <v>8</v>
      </c>
      <c r="H16" s="136" t="s">
        <v>8</v>
      </c>
      <c r="I16" s="136" t="s">
        <v>8</v>
      </c>
    </row>
    <row r="17" spans="1:9" ht="15.75" thickTop="1">
      <c r="A17" s="136" t="s">
        <v>8</v>
      </c>
      <c r="B17" s="1497" t="s">
        <v>8</v>
      </c>
      <c r="C17" s="1497" t="s">
        <v>8</v>
      </c>
      <c r="D17" s="1502" t="s">
        <v>291</v>
      </c>
      <c r="E17" s="1497" t="s">
        <v>8</v>
      </c>
      <c r="F17" s="1497" t="s">
        <v>8</v>
      </c>
      <c r="G17" s="1497" t="s">
        <v>8</v>
      </c>
      <c r="H17" s="1484" t="s">
        <v>8</v>
      </c>
      <c r="I17" s="136" t="s">
        <v>8</v>
      </c>
    </row>
    <row r="18" spans="1:9">
      <c r="A18" s="136" t="s">
        <v>8</v>
      </c>
      <c r="B18" s="1498">
        <v>1</v>
      </c>
      <c r="C18" s="1500" t="s">
        <v>27</v>
      </c>
      <c r="D18" s="1500" t="s">
        <v>355</v>
      </c>
      <c r="E18" s="1504">
        <v>5</v>
      </c>
      <c r="F18" s="1500" t="s">
        <v>356</v>
      </c>
      <c r="G18" s="1506">
        <v>0</v>
      </c>
      <c r="H18" s="1492" t="s">
        <v>41</v>
      </c>
      <c r="I18" s="136" t="s">
        <v>8</v>
      </c>
    </row>
    <row r="19" spans="1:9">
      <c r="A19" s="136" t="s">
        <v>8</v>
      </c>
      <c r="B19" s="1498" t="s">
        <v>8</v>
      </c>
      <c r="C19" s="1500" t="s">
        <v>8</v>
      </c>
      <c r="D19" s="1500" t="s">
        <v>8</v>
      </c>
      <c r="E19" s="1504" t="s">
        <v>8</v>
      </c>
      <c r="F19" s="1500" t="s">
        <v>8</v>
      </c>
      <c r="G19" s="1506" t="s">
        <v>8</v>
      </c>
      <c r="H19" s="1492" t="s">
        <v>8</v>
      </c>
      <c r="I19" s="136" t="s">
        <v>8</v>
      </c>
    </row>
    <row r="20" spans="1:9" ht="15.75" thickBot="1">
      <c r="A20" s="136" t="s">
        <v>8</v>
      </c>
      <c r="B20" s="1499" t="s">
        <v>8</v>
      </c>
      <c r="C20" s="1501" t="s">
        <v>8</v>
      </c>
      <c r="D20" s="1503" t="s">
        <v>51</v>
      </c>
      <c r="E20" s="1505">
        <f>SUM($E$18:$E$19)</f>
        <v>5</v>
      </c>
      <c r="F20" s="1501" t="s">
        <v>8</v>
      </c>
      <c r="G20" s="1507" t="s">
        <v>8</v>
      </c>
      <c r="H20" s="1487" t="s">
        <v>8</v>
      </c>
      <c r="I20" s="136" t="s">
        <v>8</v>
      </c>
    </row>
    <row r="21" spans="1:9" ht="15.75" thickTop="1">
      <c r="A21" s="136" t="s">
        <v>8</v>
      </c>
      <c r="B21" s="1489" t="s">
        <v>8</v>
      </c>
      <c r="C21" s="136" t="s">
        <v>8</v>
      </c>
      <c r="D21" s="136" t="s">
        <v>8</v>
      </c>
      <c r="E21" s="137" t="s">
        <v>8</v>
      </c>
      <c r="F21" s="136" t="s">
        <v>8</v>
      </c>
      <c r="G21" s="1488" t="s">
        <v>8</v>
      </c>
      <c r="H21" s="136" t="s">
        <v>8</v>
      </c>
      <c r="I21" s="136" t="s">
        <v>8</v>
      </c>
    </row>
    <row r="22" spans="1:9" ht="15.75" thickBot="1">
      <c r="A22" s="136" t="s">
        <v>8</v>
      </c>
      <c r="B22" s="1489" t="s">
        <v>8</v>
      </c>
      <c r="C22" s="136" t="s">
        <v>8</v>
      </c>
      <c r="D22" s="136" t="s">
        <v>8</v>
      </c>
      <c r="E22" s="137" t="s">
        <v>8</v>
      </c>
      <c r="F22" s="136" t="s">
        <v>8</v>
      </c>
      <c r="G22" s="1488" t="s">
        <v>8</v>
      </c>
      <c r="H22" s="136" t="s">
        <v>8</v>
      </c>
      <c r="I22" s="136" t="s">
        <v>8</v>
      </c>
    </row>
    <row r="23" spans="1:9" ht="15.75" thickTop="1">
      <c r="A23" s="136" t="s">
        <v>8</v>
      </c>
      <c r="B23" s="1511" t="s">
        <v>8</v>
      </c>
      <c r="C23" s="1497" t="s">
        <v>8</v>
      </c>
      <c r="D23" s="1502" t="s">
        <v>294</v>
      </c>
      <c r="E23" s="1512" t="s">
        <v>8</v>
      </c>
      <c r="F23" s="1497" t="s">
        <v>8</v>
      </c>
      <c r="G23" s="1513" t="s">
        <v>8</v>
      </c>
      <c r="H23" s="1484" t="s">
        <v>8</v>
      </c>
      <c r="I23" s="136" t="s">
        <v>8</v>
      </c>
    </row>
    <row r="24" spans="1:9">
      <c r="A24" s="136" t="s">
        <v>8</v>
      </c>
      <c r="B24" s="1498">
        <v>1</v>
      </c>
      <c r="C24" s="1500" t="s">
        <v>125</v>
      </c>
      <c r="D24" s="1500" t="s">
        <v>357</v>
      </c>
      <c r="E24" s="1504">
        <v>35</v>
      </c>
      <c r="F24" s="1500" t="s">
        <v>358</v>
      </c>
      <c r="G24" s="1506">
        <v>8</v>
      </c>
      <c r="H24" s="1492" t="s">
        <v>55</v>
      </c>
      <c r="I24" s="136" t="s">
        <v>8</v>
      </c>
    </row>
    <row r="25" spans="1:9">
      <c r="A25" s="136" t="s">
        <v>8</v>
      </c>
      <c r="B25" s="1498">
        <v>2</v>
      </c>
      <c r="C25" s="1500" t="s">
        <v>190</v>
      </c>
      <c r="D25" s="1500" t="s">
        <v>359</v>
      </c>
      <c r="E25" s="1504">
        <v>327.73</v>
      </c>
      <c r="F25" s="1500" t="s">
        <v>359</v>
      </c>
      <c r="G25" s="1506">
        <v>6</v>
      </c>
      <c r="H25" s="1492" t="s">
        <v>55</v>
      </c>
      <c r="I25" s="136" t="s">
        <v>8</v>
      </c>
    </row>
    <row r="26" spans="1:9">
      <c r="A26" s="136" t="s">
        <v>8</v>
      </c>
      <c r="B26" s="1498">
        <v>3</v>
      </c>
      <c r="C26" s="1500" t="s">
        <v>38</v>
      </c>
      <c r="D26" s="1500" t="s">
        <v>360</v>
      </c>
      <c r="E26" s="1504">
        <v>70000</v>
      </c>
      <c r="F26" s="1500" t="s">
        <v>361</v>
      </c>
      <c r="G26" s="1506">
        <v>3</v>
      </c>
      <c r="H26" s="1492" t="s">
        <v>55</v>
      </c>
      <c r="I26" s="136" t="s">
        <v>8</v>
      </c>
    </row>
    <row r="27" spans="1:9">
      <c r="A27" s="136" t="s">
        <v>8</v>
      </c>
      <c r="B27" s="1498" t="s">
        <v>8</v>
      </c>
      <c r="C27" s="1500" t="s">
        <v>8</v>
      </c>
      <c r="D27" s="1500" t="s">
        <v>8</v>
      </c>
      <c r="E27" s="1504" t="s">
        <v>8</v>
      </c>
      <c r="F27" s="1500" t="s">
        <v>8</v>
      </c>
      <c r="G27" s="1506" t="s">
        <v>8</v>
      </c>
      <c r="H27" s="1492" t="s">
        <v>8</v>
      </c>
      <c r="I27" s="136" t="s">
        <v>8</v>
      </c>
    </row>
    <row r="28" spans="1:9" ht="15.75" thickBot="1">
      <c r="A28" s="136" t="s">
        <v>8</v>
      </c>
      <c r="B28" s="1499" t="s">
        <v>8</v>
      </c>
      <c r="C28" s="1501" t="s">
        <v>8</v>
      </c>
      <c r="D28" s="1503" t="s">
        <v>51</v>
      </c>
      <c r="E28" s="1505">
        <f>SUM($E$24:$E$27)</f>
        <v>70362.73</v>
      </c>
      <c r="F28" s="1501" t="s">
        <v>8</v>
      </c>
      <c r="G28" s="1507" t="s">
        <v>8</v>
      </c>
      <c r="H28" s="1487" t="s">
        <v>8</v>
      </c>
      <c r="I28" s="136" t="s">
        <v>8</v>
      </c>
    </row>
    <row r="29" spans="1:9" ht="15.75" thickTop="1">
      <c r="A29" s="136" t="s">
        <v>8</v>
      </c>
      <c r="B29" s="1489" t="s">
        <v>8</v>
      </c>
      <c r="C29" s="136" t="s">
        <v>8</v>
      </c>
      <c r="D29" s="136" t="s">
        <v>8</v>
      </c>
      <c r="E29" s="137" t="s">
        <v>8</v>
      </c>
      <c r="F29" s="136" t="s">
        <v>8</v>
      </c>
      <c r="G29" s="1488" t="s">
        <v>8</v>
      </c>
      <c r="H29" s="136" t="s">
        <v>8</v>
      </c>
      <c r="I29" s="136" t="s">
        <v>8</v>
      </c>
    </row>
    <row r="30" spans="1:9" ht="15.75" thickBot="1">
      <c r="A30" s="136" t="s">
        <v>8</v>
      </c>
      <c r="B30" s="1489" t="s">
        <v>8</v>
      </c>
      <c r="C30" s="136" t="s">
        <v>8</v>
      </c>
      <c r="D30" s="136" t="s">
        <v>8</v>
      </c>
      <c r="E30" s="137" t="s">
        <v>8</v>
      </c>
      <c r="F30" s="136" t="s">
        <v>8</v>
      </c>
      <c r="G30" s="1488" t="s">
        <v>8</v>
      </c>
      <c r="H30" s="136" t="s">
        <v>8</v>
      </c>
      <c r="I30" s="136" t="s">
        <v>8</v>
      </c>
    </row>
    <row r="31" spans="1:9" ht="15.75" thickTop="1">
      <c r="A31" s="136" t="s">
        <v>8</v>
      </c>
      <c r="B31" s="1511" t="s">
        <v>8</v>
      </c>
      <c r="C31" s="1497" t="s">
        <v>8</v>
      </c>
      <c r="D31" s="1502" t="s">
        <v>309</v>
      </c>
      <c r="E31" s="1512" t="s">
        <v>8</v>
      </c>
      <c r="F31" s="1497" t="s">
        <v>8</v>
      </c>
      <c r="G31" s="1513" t="s">
        <v>8</v>
      </c>
      <c r="H31" s="1484" t="s">
        <v>8</v>
      </c>
      <c r="I31" s="136" t="s">
        <v>8</v>
      </c>
    </row>
    <row r="32" spans="1:9">
      <c r="A32" s="136" t="s">
        <v>8</v>
      </c>
      <c r="B32" s="1498">
        <v>1</v>
      </c>
      <c r="C32" s="1500" t="s">
        <v>48</v>
      </c>
      <c r="D32" s="1500" t="s">
        <v>362</v>
      </c>
      <c r="E32" s="1504">
        <v>1092.3499999999999</v>
      </c>
      <c r="F32" s="1500" t="s">
        <v>362</v>
      </c>
      <c r="G32" s="1506">
        <v>1</v>
      </c>
      <c r="H32" s="1492" t="s">
        <v>88</v>
      </c>
      <c r="I32" s="136" t="s">
        <v>8</v>
      </c>
    </row>
    <row r="33" spans="1:9">
      <c r="A33" s="136" t="s">
        <v>8</v>
      </c>
      <c r="B33" s="1498">
        <v>2</v>
      </c>
      <c r="C33" s="1500" t="s">
        <v>27</v>
      </c>
      <c r="D33" s="1500" t="s">
        <v>363</v>
      </c>
      <c r="E33" s="1504">
        <v>1025.8399999999999</v>
      </c>
      <c r="F33" s="1500" t="s">
        <v>364</v>
      </c>
      <c r="G33" s="1506">
        <v>0</v>
      </c>
      <c r="H33" s="1492" t="s">
        <v>88</v>
      </c>
      <c r="I33" s="136" t="s">
        <v>8</v>
      </c>
    </row>
    <row r="34" spans="1:9">
      <c r="A34" s="136" t="s">
        <v>8</v>
      </c>
      <c r="B34" s="1498" t="s">
        <v>8</v>
      </c>
      <c r="C34" s="1500" t="s">
        <v>8</v>
      </c>
      <c r="D34" s="1500" t="s">
        <v>8</v>
      </c>
      <c r="E34" s="1504" t="s">
        <v>8</v>
      </c>
      <c r="F34" s="1500" t="s">
        <v>8</v>
      </c>
      <c r="G34" s="1506" t="s">
        <v>8</v>
      </c>
      <c r="H34" s="1492" t="s">
        <v>8</v>
      </c>
      <c r="I34" s="136" t="s">
        <v>8</v>
      </c>
    </row>
    <row r="35" spans="1:9" ht="15.75" thickBot="1">
      <c r="A35" s="136" t="s">
        <v>8</v>
      </c>
      <c r="B35" s="1499" t="s">
        <v>8</v>
      </c>
      <c r="C35" s="1501" t="s">
        <v>8</v>
      </c>
      <c r="D35" s="1503" t="s">
        <v>51</v>
      </c>
      <c r="E35" s="1505">
        <f>SUM($E$32:$E$34)</f>
        <v>2118.1899999999996</v>
      </c>
      <c r="F35" s="1501" t="s">
        <v>8</v>
      </c>
      <c r="G35" s="1507" t="s">
        <v>8</v>
      </c>
      <c r="H35" s="1487" t="s">
        <v>8</v>
      </c>
      <c r="I35" s="136" t="s">
        <v>8</v>
      </c>
    </row>
    <row r="36" spans="1:9" ht="15.75" thickTop="1">
      <c r="A36" s="136" t="s">
        <v>8</v>
      </c>
      <c r="B36" s="1489" t="s">
        <v>8</v>
      </c>
      <c r="C36" s="136" t="s">
        <v>8</v>
      </c>
      <c r="D36" s="136" t="s">
        <v>8</v>
      </c>
      <c r="E36" s="137" t="s">
        <v>8</v>
      </c>
      <c r="F36" s="136" t="s">
        <v>8</v>
      </c>
      <c r="G36" s="1488" t="s">
        <v>8</v>
      </c>
      <c r="H36" s="136" t="s">
        <v>8</v>
      </c>
      <c r="I36" s="136" t="s">
        <v>8</v>
      </c>
    </row>
    <row r="37" spans="1:9" ht="15.75" thickBot="1">
      <c r="A37" s="136" t="s">
        <v>8</v>
      </c>
      <c r="B37" s="1489" t="s">
        <v>8</v>
      </c>
      <c r="C37" s="136" t="s">
        <v>8</v>
      </c>
      <c r="D37" s="136" t="s">
        <v>8</v>
      </c>
      <c r="E37" s="137" t="s">
        <v>8</v>
      </c>
      <c r="F37" s="136" t="s">
        <v>8</v>
      </c>
      <c r="G37" s="1488" t="s">
        <v>8</v>
      </c>
      <c r="H37" s="136" t="s">
        <v>8</v>
      </c>
      <c r="I37" s="136" t="s">
        <v>8</v>
      </c>
    </row>
    <row r="38" spans="1:9" ht="15.75" thickTop="1">
      <c r="A38" s="136" t="s">
        <v>8</v>
      </c>
      <c r="B38" s="1511" t="s">
        <v>8</v>
      </c>
      <c r="C38" s="1497" t="s">
        <v>8</v>
      </c>
      <c r="D38" s="1502" t="s">
        <v>312</v>
      </c>
      <c r="E38" s="1512" t="s">
        <v>8</v>
      </c>
      <c r="F38" s="1497" t="s">
        <v>8</v>
      </c>
      <c r="G38" s="1513" t="s">
        <v>8</v>
      </c>
      <c r="H38" s="1484" t="s">
        <v>8</v>
      </c>
      <c r="I38" s="136" t="s">
        <v>8</v>
      </c>
    </row>
    <row r="39" spans="1:9">
      <c r="A39" s="136" t="s">
        <v>8</v>
      </c>
      <c r="B39" s="1498">
        <v>1</v>
      </c>
      <c r="C39" s="1500" t="s">
        <v>365</v>
      </c>
      <c r="D39" s="1500" t="s">
        <v>366</v>
      </c>
      <c r="E39" s="1504">
        <v>1</v>
      </c>
      <c r="F39" s="1500" t="s">
        <v>366</v>
      </c>
      <c r="G39" s="1506">
        <v>9</v>
      </c>
      <c r="H39" s="1492" t="s">
        <v>96</v>
      </c>
      <c r="I39" s="136" t="s">
        <v>8</v>
      </c>
    </row>
    <row r="40" spans="1:9">
      <c r="A40" s="136" t="s">
        <v>8</v>
      </c>
      <c r="B40" s="1498">
        <v>2</v>
      </c>
      <c r="C40" s="1500" t="s">
        <v>125</v>
      </c>
      <c r="D40" s="1500" t="s">
        <v>367</v>
      </c>
      <c r="E40" s="1504">
        <v>1</v>
      </c>
      <c r="F40" s="1500" t="s">
        <v>367</v>
      </c>
      <c r="G40" s="1506">
        <v>8</v>
      </c>
      <c r="H40" s="1492" t="s">
        <v>96</v>
      </c>
      <c r="I40" s="136" t="s">
        <v>8</v>
      </c>
    </row>
    <row r="41" spans="1:9">
      <c r="A41" s="136" t="s">
        <v>8</v>
      </c>
      <c r="B41" s="1498">
        <v>3</v>
      </c>
      <c r="C41" s="1500" t="s">
        <v>190</v>
      </c>
      <c r="D41" s="1500" t="s">
        <v>242</v>
      </c>
      <c r="E41" s="1504">
        <v>1</v>
      </c>
      <c r="F41" s="1500" t="s">
        <v>242</v>
      </c>
      <c r="G41" s="1506">
        <v>6</v>
      </c>
      <c r="H41" s="1492" t="s">
        <v>96</v>
      </c>
      <c r="I41" s="136" t="s">
        <v>8</v>
      </c>
    </row>
    <row r="42" spans="1:9">
      <c r="A42" s="136" t="s">
        <v>8</v>
      </c>
      <c r="B42" s="1498">
        <v>4</v>
      </c>
      <c r="C42" s="1500" t="s">
        <v>190</v>
      </c>
      <c r="D42" s="1500" t="s">
        <v>242</v>
      </c>
      <c r="E42" s="1504">
        <v>1</v>
      </c>
      <c r="F42" s="1500" t="s">
        <v>242</v>
      </c>
      <c r="G42" s="1506">
        <v>6</v>
      </c>
      <c r="H42" s="1492" t="s">
        <v>96</v>
      </c>
      <c r="I42" s="136" t="s">
        <v>8</v>
      </c>
    </row>
    <row r="43" spans="1:9">
      <c r="A43" s="136" t="s">
        <v>8</v>
      </c>
      <c r="B43" s="1498">
        <v>5</v>
      </c>
      <c r="C43" s="1500" t="s">
        <v>190</v>
      </c>
      <c r="D43" s="1500" t="s">
        <v>242</v>
      </c>
      <c r="E43" s="1504">
        <v>1</v>
      </c>
      <c r="F43" s="1500" t="s">
        <v>242</v>
      </c>
      <c r="G43" s="1506">
        <v>6</v>
      </c>
      <c r="H43" s="1492" t="s">
        <v>96</v>
      </c>
      <c r="I43" s="136" t="s">
        <v>8</v>
      </c>
    </row>
    <row r="44" spans="1:9">
      <c r="A44" s="136" t="s">
        <v>8</v>
      </c>
      <c r="B44" s="1498">
        <v>6</v>
      </c>
      <c r="C44" s="1500" t="s">
        <v>48</v>
      </c>
      <c r="D44" s="1500" t="s">
        <v>368</v>
      </c>
      <c r="E44" s="1504">
        <v>4500</v>
      </c>
      <c r="F44" s="1500" t="s">
        <v>335</v>
      </c>
      <c r="G44" s="1506">
        <v>1</v>
      </c>
      <c r="H44" s="1492" t="s">
        <v>96</v>
      </c>
      <c r="I44" s="136" t="s">
        <v>8</v>
      </c>
    </row>
    <row r="45" spans="1:9">
      <c r="A45" s="136" t="s">
        <v>8</v>
      </c>
      <c r="B45" s="1498">
        <v>7</v>
      </c>
      <c r="C45" s="1500" t="s">
        <v>48</v>
      </c>
      <c r="D45" s="1500" t="s">
        <v>369</v>
      </c>
      <c r="E45" s="1504">
        <v>17000</v>
      </c>
      <c r="F45" s="1500" t="s">
        <v>337</v>
      </c>
      <c r="G45" s="1506">
        <v>1</v>
      </c>
      <c r="H45" s="1492" t="s">
        <v>96</v>
      </c>
      <c r="I45" s="136" t="s">
        <v>8</v>
      </c>
    </row>
    <row r="46" spans="1:9">
      <c r="A46" s="136" t="s">
        <v>8</v>
      </c>
      <c r="B46" s="1498">
        <v>8</v>
      </c>
      <c r="C46" s="1500" t="s">
        <v>48</v>
      </c>
      <c r="D46" s="1500" t="s">
        <v>370</v>
      </c>
      <c r="E46" s="1504">
        <v>70000</v>
      </c>
      <c r="F46" s="1500" t="s">
        <v>371</v>
      </c>
      <c r="G46" s="1506">
        <v>1</v>
      </c>
      <c r="H46" s="1492" t="s">
        <v>96</v>
      </c>
      <c r="I46" s="136" t="s">
        <v>8</v>
      </c>
    </row>
    <row r="47" spans="1:9">
      <c r="A47" s="136" t="s">
        <v>8</v>
      </c>
      <c r="B47" s="1498">
        <v>9</v>
      </c>
      <c r="C47" s="1500" t="s">
        <v>27</v>
      </c>
      <c r="D47" s="1500" t="s">
        <v>372</v>
      </c>
      <c r="E47" s="1504">
        <v>6</v>
      </c>
      <c r="F47" s="1500" t="s">
        <v>373</v>
      </c>
      <c r="G47" s="1506">
        <v>0</v>
      </c>
      <c r="H47" s="1492" t="s">
        <v>96</v>
      </c>
      <c r="I47" s="136" t="s">
        <v>8</v>
      </c>
    </row>
    <row r="48" spans="1:9">
      <c r="A48" s="136" t="s">
        <v>8</v>
      </c>
      <c r="B48" s="1498" t="s">
        <v>8</v>
      </c>
      <c r="C48" s="1500" t="s">
        <v>8</v>
      </c>
      <c r="D48" s="1500" t="s">
        <v>8</v>
      </c>
      <c r="E48" s="1504" t="s">
        <v>8</v>
      </c>
      <c r="F48" s="1500" t="s">
        <v>8</v>
      </c>
      <c r="G48" s="1506" t="s">
        <v>8</v>
      </c>
      <c r="H48" s="1492" t="s">
        <v>8</v>
      </c>
      <c r="I48" s="136" t="s">
        <v>8</v>
      </c>
    </row>
    <row r="49" spans="1:9" ht="15.75" thickBot="1">
      <c r="A49" s="136" t="s">
        <v>8</v>
      </c>
      <c r="B49" s="1499" t="s">
        <v>8</v>
      </c>
      <c r="C49" s="1501" t="s">
        <v>8</v>
      </c>
      <c r="D49" s="1503" t="s">
        <v>51</v>
      </c>
      <c r="E49" s="1505">
        <f>SUM($E$39:$E$48)</f>
        <v>91511</v>
      </c>
      <c r="F49" s="1501" t="s">
        <v>8</v>
      </c>
      <c r="G49" s="1507" t="s">
        <v>8</v>
      </c>
      <c r="H49" s="1487" t="s">
        <v>8</v>
      </c>
      <c r="I49" s="136" t="s">
        <v>8</v>
      </c>
    </row>
    <row r="50" spans="1:9" ht="16.5" thickTop="1" thickBot="1">
      <c r="A50" s="136" t="s">
        <v>8</v>
      </c>
      <c r="B50" s="1489" t="s">
        <v>8</v>
      </c>
      <c r="C50" s="136" t="s">
        <v>8</v>
      </c>
      <c r="D50" s="136" t="s">
        <v>8</v>
      </c>
      <c r="E50" s="137" t="s">
        <v>8</v>
      </c>
      <c r="F50" s="136" t="s">
        <v>8</v>
      </c>
      <c r="G50" s="1488" t="s">
        <v>8</v>
      </c>
      <c r="H50" s="136" t="s">
        <v>8</v>
      </c>
      <c r="I50" s="136" t="s">
        <v>8</v>
      </c>
    </row>
    <row r="51" spans="1:9" ht="15.75" thickTop="1">
      <c r="A51" s="136" t="s">
        <v>8</v>
      </c>
      <c r="B51" s="1508" t="s">
        <v>8</v>
      </c>
      <c r="C51" s="1483" t="s">
        <v>8</v>
      </c>
      <c r="D51" s="1483" t="s">
        <v>8</v>
      </c>
      <c r="E51" s="1509" t="s">
        <v>8</v>
      </c>
      <c r="F51" s="1483" t="s">
        <v>8</v>
      </c>
      <c r="G51" s="1510" t="s">
        <v>8</v>
      </c>
      <c r="H51" s="1484" t="s">
        <v>8</v>
      </c>
      <c r="I51" s="136" t="s">
        <v>8</v>
      </c>
    </row>
    <row r="52" spans="1:9">
      <c r="A52" s="136" t="s">
        <v>8</v>
      </c>
      <c r="B52" s="1491" t="s">
        <v>8</v>
      </c>
      <c r="C52" s="2132" t="s">
        <v>8</v>
      </c>
      <c r="D52" s="2134" t="s">
        <v>114</v>
      </c>
      <c r="E52" s="2133">
        <f>ABS(E13+$E$20-$E$49+$E$28-$E$35)</f>
        <v>13992781.560000001</v>
      </c>
      <c r="F52" s="2132" t="s">
        <v>8</v>
      </c>
      <c r="G52" s="2136" t="s">
        <v>8</v>
      </c>
      <c r="H52" s="1492" t="s">
        <v>8</v>
      </c>
      <c r="I52" s="136" t="s">
        <v>8</v>
      </c>
    </row>
    <row r="53" spans="1:9">
      <c r="A53" s="136" t="s">
        <v>8</v>
      </c>
      <c r="B53" s="1491" t="s">
        <v>8</v>
      </c>
      <c r="C53" s="2132" t="s">
        <v>8</v>
      </c>
      <c r="D53" s="2134" t="s">
        <v>115</v>
      </c>
      <c r="E53" s="2133">
        <v>13992781.560000001</v>
      </c>
      <c r="F53" s="2132" t="s">
        <v>8</v>
      </c>
      <c r="G53" s="2136" t="s">
        <v>8</v>
      </c>
      <c r="H53" s="1492" t="s">
        <v>8</v>
      </c>
      <c r="I53" s="136" t="s">
        <v>116</v>
      </c>
    </row>
    <row r="54" spans="1:9" ht="15.75" thickBot="1">
      <c r="A54" s="136" t="s">
        <v>8</v>
      </c>
      <c r="B54" s="1493" t="s">
        <v>8</v>
      </c>
      <c r="C54" s="1486" t="s">
        <v>8</v>
      </c>
      <c r="D54" s="1494" t="s">
        <v>117</v>
      </c>
      <c r="E54" s="1495">
        <f>$E$53-$E$52</f>
        <v>0</v>
      </c>
      <c r="F54" s="1486" t="s">
        <v>8</v>
      </c>
      <c r="G54" s="1496" t="s">
        <v>8</v>
      </c>
      <c r="H54" s="1487" t="s">
        <v>8</v>
      </c>
      <c r="I54" s="136" t="s">
        <v>8</v>
      </c>
    </row>
    <row r="55" spans="1:9" ht="16.5" thickTop="1" thickBot="1">
      <c r="A55" s="136" t="s">
        <v>8</v>
      </c>
      <c r="B55" s="1489" t="s">
        <v>8</v>
      </c>
      <c r="C55" s="136" t="s">
        <v>8</v>
      </c>
      <c r="D55" s="136" t="s">
        <v>8</v>
      </c>
      <c r="E55" s="137" t="s">
        <v>8</v>
      </c>
      <c r="F55" s="136" t="s">
        <v>8</v>
      </c>
      <c r="G55" s="1488" t="s">
        <v>8</v>
      </c>
      <c r="H55" s="136" t="s">
        <v>8</v>
      </c>
      <c r="I55" s="136" t="s">
        <v>8</v>
      </c>
    </row>
    <row r="56" spans="1:9" ht="15.75" thickTop="1">
      <c r="A56" s="136" t="s">
        <v>8</v>
      </c>
      <c r="B56" s="1508" t="s">
        <v>8</v>
      </c>
      <c r="C56" s="1483" t="s">
        <v>8</v>
      </c>
      <c r="D56" s="1490" t="s">
        <v>118</v>
      </c>
      <c r="E56" s="1514" t="s">
        <v>119</v>
      </c>
      <c r="F56" s="1490" t="s">
        <v>120</v>
      </c>
      <c r="G56" s="1510">
        <v>45981</v>
      </c>
      <c r="H56" s="1484" t="s">
        <v>8</v>
      </c>
      <c r="I56" s="136" t="s">
        <v>8</v>
      </c>
    </row>
    <row r="57" spans="1:9">
      <c r="A57" s="136" t="s">
        <v>8</v>
      </c>
      <c r="B57" s="1491" t="s">
        <v>8</v>
      </c>
      <c r="C57" s="2132" t="s">
        <v>8</v>
      </c>
      <c r="D57" s="2132" t="s">
        <v>8</v>
      </c>
      <c r="E57" s="2135" t="s">
        <v>8</v>
      </c>
      <c r="F57" s="2132" t="s">
        <v>8</v>
      </c>
      <c r="G57" s="2136" t="s">
        <v>8</v>
      </c>
      <c r="H57" s="1492" t="s">
        <v>8</v>
      </c>
      <c r="I57" s="136" t="s">
        <v>8</v>
      </c>
    </row>
    <row r="58" spans="1:9">
      <c r="A58" s="136" t="s">
        <v>8</v>
      </c>
      <c r="B58" s="1491" t="s">
        <v>8</v>
      </c>
      <c r="C58" s="2132" t="s">
        <v>8</v>
      </c>
      <c r="D58" s="2132" t="s">
        <v>8</v>
      </c>
      <c r="E58" s="2135" t="s">
        <v>8</v>
      </c>
      <c r="F58" s="2132" t="s">
        <v>8</v>
      </c>
      <c r="G58" s="2136" t="s">
        <v>8</v>
      </c>
      <c r="H58" s="1492" t="s">
        <v>8</v>
      </c>
      <c r="I58" s="136" t="s">
        <v>8</v>
      </c>
    </row>
    <row r="59" spans="1:9">
      <c r="A59" s="136" t="s">
        <v>8</v>
      </c>
      <c r="B59" s="1491" t="s">
        <v>8</v>
      </c>
      <c r="C59" s="2132" t="s">
        <v>8</v>
      </c>
      <c r="D59" s="2134" t="s">
        <v>121</v>
      </c>
      <c r="E59" s="2133" t="s">
        <v>8</v>
      </c>
      <c r="F59" s="2134" t="s">
        <v>120</v>
      </c>
      <c r="G59" s="2136" t="s">
        <v>8</v>
      </c>
      <c r="H59" s="1492" t="s">
        <v>8</v>
      </c>
      <c r="I59" s="136" t="s">
        <v>8</v>
      </c>
    </row>
    <row r="60" spans="1:9">
      <c r="B60" s="180"/>
      <c r="C60" s="1919"/>
      <c r="D60" s="1919"/>
      <c r="E60" s="1919"/>
      <c r="F60" s="1919"/>
      <c r="G60" s="1919"/>
      <c r="H60" s="181"/>
    </row>
    <row r="61" spans="1:9" ht="15.75" thickBot="1">
      <c r="B61" s="182"/>
      <c r="C61" s="183"/>
      <c r="D61" s="183"/>
      <c r="E61" s="183"/>
      <c r="F61" s="183"/>
      <c r="G61" s="183"/>
      <c r="H61" s="184"/>
    </row>
    <row r="62" spans="1:9" ht="15.75" thickTop="1"/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1.7109375" bestFit="1" customWidth="1"/>
    <col min="4" max="4" width="74" bestFit="1" customWidth="1"/>
    <col min="5" max="5" width="24.5703125" bestFit="1" customWidth="1"/>
    <col min="6" max="6" width="45.42578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41" t="s">
        <v>0</v>
      </c>
      <c r="B1" s="141" t="s">
        <v>1</v>
      </c>
      <c r="C1" s="141" t="s">
        <v>2</v>
      </c>
      <c r="D1" s="141" t="s">
        <v>3</v>
      </c>
      <c r="E1" s="141" t="s">
        <v>4</v>
      </c>
      <c r="F1" s="141" t="s">
        <v>5</v>
      </c>
      <c r="G1" s="141" t="s">
        <v>6</v>
      </c>
      <c r="H1" s="141" t="s">
        <v>7</v>
      </c>
      <c r="I1" s="141" t="s">
        <v>196</v>
      </c>
    </row>
    <row r="2" spans="1:9">
      <c r="A2" s="139" t="s">
        <v>8</v>
      </c>
      <c r="B2" s="139" t="s">
        <v>8</v>
      </c>
      <c r="C2" s="139" t="s">
        <v>8</v>
      </c>
      <c r="D2" s="139" t="s">
        <v>8</v>
      </c>
      <c r="E2" s="139" t="s">
        <v>8</v>
      </c>
      <c r="F2" s="139" t="s">
        <v>8</v>
      </c>
      <c r="G2" s="139" t="s">
        <v>8</v>
      </c>
      <c r="H2" s="139" t="s">
        <v>8</v>
      </c>
      <c r="I2" s="139" t="s">
        <v>8</v>
      </c>
    </row>
    <row r="3" spans="1:9" ht="15.75" thickBot="1">
      <c r="A3" s="139" t="s">
        <v>8</v>
      </c>
      <c r="B3" s="139" t="s">
        <v>8</v>
      </c>
      <c r="C3" s="139" t="s">
        <v>8</v>
      </c>
      <c r="D3" s="139" t="s">
        <v>8</v>
      </c>
      <c r="E3" s="139" t="s">
        <v>8</v>
      </c>
      <c r="F3" s="139" t="s">
        <v>8</v>
      </c>
      <c r="G3" s="139" t="s">
        <v>8</v>
      </c>
      <c r="H3" s="139" t="s">
        <v>8</v>
      </c>
      <c r="I3" s="139" t="s">
        <v>8</v>
      </c>
    </row>
    <row r="4" spans="1:9" ht="16.5" thickTop="1" thickBot="1">
      <c r="A4" s="139" t="s">
        <v>8</v>
      </c>
      <c r="B4" s="139" t="s">
        <v>14</v>
      </c>
      <c r="C4" s="139" t="s">
        <v>8</v>
      </c>
      <c r="D4" s="1516" t="s">
        <v>15</v>
      </c>
      <c r="E4" s="139" t="s">
        <v>16</v>
      </c>
      <c r="F4" s="1516" t="s">
        <v>374</v>
      </c>
      <c r="G4" s="139" t="s">
        <v>8</v>
      </c>
      <c r="H4" s="139" t="s">
        <v>8</v>
      </c>
      <c r="I4" s="139" t="s">
        <v>8</v>
      </c>
    </row>
    <row r="5" spans="1:9" ht="16.5" thickTop="1" thickBot="1">
      <c r="A5" s="139" t="s">
        <v>8</v>
      </c>
      <c r="B5" s="139" t="s">
        <v>8</v>
      </c>
      <c r="C5" s="139" t="s">
        <v>8</v>
      </c>
      <c r="D5" s="139" t="s">
        <v>8</v>
      </c>
      <c r="E5" s="139" t="s">
        <v>8</v>
      </c>
      <c r="F5" s="139" t="s">
        <v>8</v>
      </c>
      <c r="G5" s="139" t="s">
        <v>8</v>
      </c>
      <c r="H5" s="139" t="s">
        <v>8</v>
      </c>
      <c r="I5" s="139" t="s">
        <v>8</v>
      </c>
    </row>
    <row r="6" spans="1:9" ht="16.5" thickTop="1" thickBot="1">
      <c r="A6" s="139" t="s">
        <v>8</v>
      </c>
      <c r="B6" s="139" t="s">
        <v>18</v>
      </c>
      <c r="C6" s="139" t="s">
        <v>8</v>
      </c>
      <c r="D6" s="1516" t="s">
        <v>19</v>
      </c>
      <c r="E6" s="139" t="s">
        <v>20</v>
      </c>
      <c r="F6" s="1516" t="s">
        <v>375</v>
      </c>
      <c r="G6" s="139" t="s">
        <v>8</v>
      </c>
      <c r="H6" s="139" t="s">
        <v>8</v>
      </c>
      <c r="I6" s="139" t="s">
        <v>8</v>
      </c>
    </row>
    <row r="7" spans="1:9" ht="16.5" thickTop="1" thickBot="1">
      <c r="A7" s="139" t="s">
        <v>8</v>
      </c>
      <c r="B7" s="139" t="s">
        <v>8</v>
      </c>
      <c r="C7" s="139" t="s">
        <v>8</v>
      </c>
      <c r="D7" s="139" t="s">
        <v>8</v>
      </c>
      <c r="E7" s="139" t="s">
        <v>8</v>
      </c>
      <c r="F7" s="139" t="s">
        <v>8</v>
      </c>
      <c r="G7" s="139" t="s">
        <v>8</v>
      </c>
      <c r="H7" s="139" t="s">
        <v>8</v>
      </c>
      <c r="I7" s="139" t="s">
        <v>8</v>
      </c>
    </row>
    <row r="8" spans="1:9" ht="16.5" thickTop="1" thickBot="1">
      <c r="A8" s="139" t="s">
        <v>8</v>
      </c>
      <c r="B8" s="139" t="s">
        <v>22</v>
      </c>
      <c r="C8" s="139" t="s">
        <v>8</v>
      </c>
      <c r="D8" s="1516" t="s">
        <v>11</v>
      </c>
      <c r="E8" s="139" t="s">
        <v>23</v>
      </c>
      <c r="F8" s="1516" t="s">
        <v>376</v>
      </c>
      <c r="G8" s="139" t="s">
        <v>8</v>
      </c>
      <c r="H8" s="139" t="s">
        <v>8</v>
      </c>
      <c r="I8" s="139" t="s">
        <v>8</v>
      </c>
    </row>
    <row r="9" spans="1:9" ht="16.5" thickTop="1" thickBot="1">
      <c r="A9" s="139" t="s">
        <v>8</v>
      </c>
      <c r="B9" s="139" t="s">
        <v>8</v>
      </c>
      <c r="C9" s="139" t="s">
        <v>8</v>
      </c>
      <c r="D9" s="139" t="s">
        <v>8</v>
      </c>
      <c r="E9" s="139" t="s">
        <v>8</v>
      </c>
      <c r="F9" s="139" t="s">
        <v>8</v>
      </c>
      <c r="G9" s="139" t="s">
        <v>8</v>
      </c>
      <c r="H9" s="139" t="s">
        <v>8</v>
      </c>
      <c r="I9" s="139" t="s">
        <v>8</v>
      </c>
    </row>
    <row r="10" spans="1:9" ht="16.5" thickTop="1" thickBot="1">
      <c r="A10" s="139" t="s">
        <v>8</v>
      </c>
      <c r="B10" s="139" t="s">
        <v>25</v>
      </c>
      <c r="C10" s="139" t="s">
        <v>8</v>
      </c>
      <c r="D10" s="1516" t="s">
        <v>26</v>
      </c>
      <c r="E10" s="139" t="s">
        <v>8</v>
      </c>
      <c r="F10" s="139" t="s">
        <v>8</v>
      </c>
      <c r="G10" s="139" t="s">
        <v>8</v>
      </c>
      <c r="H10" s="139" t="s">
        <v>8</v>
      </c>
      <c r="I10" s="139" t="s">
        <v>8</v>
      </c>
    </row>
    <row r="11" spans="1:9" ht="16.5" thickTop="1" thickBot="1">
      <c r="A11" s="139" t="s">
        <v>8</v>
      </c>
      <c r="B11" s="139" t="s">
        <v>8</v>
      </c>
      <c r="C11" s="139" t="s">
        <v>8</v>
      </c>
      <c r="D11" s="139" t="s">
        <v>8</v>
      </c>
      <c r="E11" s="139" t="s">
        <v>8</v>
      </c>
      <c r="F11" s="139" t="s">
        <v>8</v>
      </c>
      <c r="G11" s="139" t="s">
        <v>8</v>
      </c>
      <c r="H11" s="139" t="s">
        <v>8</v>
      </c>
      <c r="I11" s="139" t="s">
        <v>8</v>
      </c>
    </row>
    <row r="12" spans="1:9" ht="16.5" thickTop="1" thickBot="1">
      <c r="A12" s="139" t="s">
        <v>8</v>
      </c>
      <c r="B12" s="1517" t="s">
        <v>8</v>
      </c>
      <c r="C12" s="1518" t="s">
        <v>8</v>
      </c>
      <c r="D12" s="1518" t="s">
        <v>8</v>
      </c>
      <c r="E12" s="1518" t="s">
        <v>8</v>
      </c>
      <c r="F12" s="1518" t="s">
        <v>8</v>
      </c>
      <c r="G12" s="1518" t="s">
        <v>8</v>
      </c>
      <c r="H12" s="1519" t="s">
        <v>8</v>
      </c>
      <c r="I12" s="139" t="s">
        <v>8</v>
      </c>
    </row>
    <row r="13" spans="1:9" ht="16.5" thickTop="1" thickBot="1">
      <c r="A13" s="139" t="s">
        <v>8</v>
      </c>
      <c r="B13" s="1520" t="s">
        <v>8</v>
      </c>
      <c r="C13" s="1515" t="s">
        <v>11</v>
      </c>
      <c r="D13" s="1521" t="s">
        <v>28</v>
      </c>
      <c r="E13" s="1530">
        <v>2848.49</v>
      </c>
      <c r="F13" s="1521" t="s">
        <v>8</v>
      </c>
      <c r="G13" s="1521" t="s">
        <v>8</v>
      </c>
      <c r="H13" s="1522" t="s">
        <v>8</v>
      </c>
      <c r="I13" s="139" t="s">
        <v>29</v>
      </c>
    </row>
    <row r="14" spans="1:9" ht="16.5" thickTop="1" thickBot="1">
      <c r="A14" s="139" t="s">
        <v>8</v>
      </c>
      <c r="B14" s="139" t="s">
        <v>8</v>
      </c>
      <c r="C14" s="139" t="s">
        <v>8</v>
      </c>
      <c r="D14" s="139" t="s">
        <v>8</v>
      </c>
      <c r="E14" s="139" t="s">
        <v>8</v>
      </c>
      <c r="F14" s="139" t="s">
        <v>8</v>
      </c>
      <c r="G14" s="139" t="s">
        <v>8</v>
      </c>
      <c r="H14" s="139" t="s">
        <v>8</v>
      </c>
      <c r="I14" s="139" t="s">
        <v>8</v>
      </c>
    </row>
    <row r="15" spans="1:9" ht="16.5" thickTop="1" thickBot="1">
      <c r="A15" s="139" t="s">
        <v>8</v>
      </c>
      <c r="B15" s="1516" t="s">
        <v>30</v>
      </c>
      <c r="C15" s="1515" t="s">
        <v>31</v>
      </c>
      <c r="D15" s="1515" t="s">
        <v>32</v>
      </c>
      <c r="E15" s="1515" t="s">
        <v>33</v>
      </c>
      <c r="F15" s="1515" t="s">
        <v>34</v>
      </c>
      <c r="G15" s="1515" t="s">
        <v>35</v>
      </c>
      <c r="H15" s="1515" t="s">
        <v>36</v>
      </c>
      <c r="I15" s="139" t="s">
        <v>8</v>
      </c>
    </row>
    <row r="16" spans="1:9" ht="16.5" thickTop="1" thickBot="1">
      <c r="A16" s="139" t="s">
        <v>8</v>
      </c>
      <c r="B16" s="139" t="s">
        <v>8</v>
      </c>
      <c r="C16" s="139" t="s">
        <v>8</v>
      </c>
      <c r="D16" s="139" t="s">
        <v>8</v>
      </c>
      <c r="E16" s="139" t="s">
        <v>8</v>
      </c>
      <c r="F16" s="139" t="s">
        <v>8</v>
      </c>
      <c r="G16" s="139" t="s">
        <v>8</v>
      </c>
      <c r="H16" s="139" t="s">
        <v>8</v>
      </c>
      <c r="I16" s="139" t="s">
        <v>8</v>
      </c>
    </row>
    <row r="17" spans="1:9" ht="15.75" thickTop="1">
      <c r="A17" s="139" t="s">
        <v>8</v>
      </c>
      <c r="B17" s="1532" t="s">
        <v>8</v>
      </c>
      <c r="C17" s="1532" t="s">
        <v>8</v>
      </c>
      <c r="D17" s="1537" t="s">
        <v>377</v>
      </c>
      <c r="E17" s="1532" t="s">
        <v>8</v>
      </c>
      <c r="F17" s="1532" t="s">
        <v>8</v>
      </c>
      <c r="G17" s="1532" t="s">
        <v>8</v>
      </c>
      <c r="H17" s="1519" t="s">
        <v>8</v>
      </c>
      <c r="I17" s="139" t="s">
        <v>8</v>
      </c>
    </row>
    <row r="18" spans="1:9">
      <c r="A18" s="139" t="s">
        <v>8</v>
      </c>
      <c r="B18" s="1533" t="s">
        <v>8</v>
      </c>
      <c r="C18" s="1535" t="s">
        <v>8</v>
      </c>
      <c r="D18" s="1535" t="s">
        <v>8</v>
      </c>
      <c r="E18" s="1539" t="s">
        <v>8</v>
      </c>
      <c r="F18" s="1535" t="s">
        <v>8</v>
      </c>
      <c r="G18" s="1541" t="s">
        <v>8</v>
      </c>
      <c r="H18" s="1527" t="s">
        <v>8</v>
      </c>
      <c r="I18" s="139" t="s">
        <v>8</v>
      </c>
    </row>
    <row r="19" spans="1:9">
      <c r="A19" s="139" t="s">
        <v>8</v>
      </c>
      <c r="B19" s="1533" t="s">
        <v>8</v>
      </c>
      <c r="C19" s="1535" t="s">
        <v>8</v>
      </c>
      <c r="D19" s="1535" t="s">
        <v>8</v>
      </c>
      <c r="E19" s="1539" t="s">
        <v>8</v>
      </c>
      <c r="F19" s="1535" t="s">
        <v>8</v>
      </c>
      <c r="G19" s="1541" t="s">
        <v>8</v>
      </c>
      <c r="H19" s="1527" t="s">
        <v>8</v>
      </c>
      <c r="I19" s="139" t="s">
        <v>8</v>
      </c>
    </row>
    <row r="20" spans="1:9" ht="15.75" thickBot="1">
      <c r="A20" s="139" t="s">
        <v>8</v>
      </c>
      <c r="B20" s="1534" t="s">
        <v>8</v>
      </c>
      <c r="C20" s="1536" t="s">
        <v>8</v>
      </c>
      <c r="D20" s="1538" t="s">
        <v>51</v>
      </c>
      <c r="E20" s="1540">
        <f>SUM($E$18:$E$19)</f>
        <v>0</v>
      </c>
      <c r="F20" s="1536" t="s">
        <v>8</v>
      </c>
      <c r="G20" s="1542" t="s">
        <v>8</v>
      </c>
      <c r="H20" s="1522" t="s">
        <v>8</v>
      </c>
      <c r="I20" s="139" t="s">
        <v>8</v>
      </c>
    </row>
    <row r="21" spans="1:9" ht="15.75" thickTop="1">
      <c r="A21" s="139" t="s">
        <v>8</v>
      </c>
      <c r="B21" s="1524" t="s">
        <v>8</v>
      </c>
      <c r="C21" s="139" t="s">
        <v>8</v>
      </c>
      <c r="D21" s="139" t="s">
        <v>8</v>
      </c>
      <c r="E21" s="140" t="s">
        <v>8</v>
      </c>
      <c r="F21" s="139" t="s">
        <v>8</v>
      </c>
      <c r="G21" s="1523" t="s">
        <v>8</v>
      </c>
      <c r="H21" s="139" t="s">
        <v>8</v>
      </c>
      <c r="I21" s="139" t="s">
        <v>8</v>
      </c>
    </row>
    <row r="22" spans="1:9" ht="15.75" thickBot="1">
      <c r="A22" s="139" t="s">
        <v>8</v>
      </c>
      <c r="B22" s="1524" t="s">
        <v>8</v>
      </c>
      <c r="C22" s="139" t="s">
        <v>8</v>
      </c>
      <c r="D22" s="139" t="s">
        <v>8</v>
      </c>
      <c r="E22" s="140" t="s">
        <v>8</v>
      </c>
      <c r="F22" s="139" t="s">
        <v>8</v>
      </c>
      <c r="G22" s="1523" t="s">
        <v>8</v>
      </c>
      <c r="H22" s="139" t="s">
        <v>8</v>
      </c>
      <c r="I22" s="139" t="s">
        <v>8</v>
      </c>
    </row>
    <row r="23" spans="1:9" ht="15.75" thickTop="1">
      <c r="A23" s="139" t="s">
        <v>8</v>
      </c>
      <c r="B23" s="1546" t="s">
        <v>8</v>
      </c>
      <c r="C23" s="1532" t="s">
        <v>8</v>
      </c>
      <c r="D23" s="1537" t="s">
        <v>378</v>
      </c>
      <c r="E23" s="1547" t="s">
        <v>8</v>
      </c>
      <c r="F23" s="1532" t="s">
        <v>8</v>
      </c>
      <c r="G23" s="1548" t="s">
        <v>8</v>
      </c>
      <c r="H23" s="1519" t="s">
        <v>8</v>
      </c>
      <c r="I23" s="139" t="s">
        <v>8</v>
      </c>
    </row>
    <row r="24" spans="1:9">
      <c r="A24" s="139" t="s">
        <v>8</v>
      </c>
      <c r="B24" s="1533">
        <v>1</v>
      </c>
      <c r="C24" s="1535" t="s">
        <v>379</v>
      </c>
      <c r="D24" s="1535" t="s">
        <v>380</v>
      </c>
      <c r="E24" s="1539">
        <v>1435.2</v>
      </c>
      <c r="F24" s="1535" t="s">
        <v>380</v>
      </c>
      <c r="G24" s="1541">
        <v>1878</v>
      </c>
      <c r="H24" s="1527" t="s">
        <v>55</v>
      </c>
      <c r="I24" s="139" t="s">
        <v>8</v>
      </c>
    </row>
    <row r="25" spans="1:9">
      <c r="A25" s="139" t="s">
        <v>8</v>
      </c>
      <c r="B25" s="1533" t="s">
        <v>8</v>
      </c>
      <c r="C25" s="1535" t="s">
        <v>8</v>
      </c>
      <c r="D25" s="1535" t="s">
        <v>8</v>
      </c>
      <c r="E25" s="1539" t="s">
        <v>8</v>
      </c>
      <c r="F25" s="1535" t="s">
        <v>8</v>
      </c>
      <c r="G25" s="1541" t="s">
        <v>8</v>
      </c>
      <c r="H25" s="1527" t="s">
        <v>8</v>
      </c>
      <c r="I25" s="139" t="s">
        <v>8</v>
      </c>
    </row>
    <row r="26" spans="1:9" ht="15.75" thickBot="1">
      <c r="A26" s="139" t="s">
        <v>8</v>
      </c>
      <c r="B26" s="1534" t="s">
        <v>8</v>
      </c>
      <c r="C26" s="1536" t="s">
        <v>8</v>
      </c>
      <c r="D26" s="1538" t="s">
        <v>51</v>
      </c>
      <c r="E26" s="1540">
        <f>SUM($E$24:$E$25)</f>
        <v>1435.2</v>
      </c>
      <c r="F26" s="1536" t="s">
        <v>8</v>
      </c>
      <c r="G26" s="1542" t="s">
        <v>8</v>
      </c>
      <c r="H26" s="1522" t="s">
        <v>8</v>
      </c>
      <c r="I26" s="139" t="s">
        <v>8</v>
      </c>
    </row>
    <row r="27" spans="1:9" ht="15.75" thickTop="1">
      <c r="A27" s="139" t="s">
        <v>8</v>
      </c>
      <c r="B27" s="1524" t="s">
        <v>8</v>
      </c>
      <c r="C27" s="139" t="s">
        <v>8</v>
      </c>
      <c r="D27" s="139" t="s">
        <v>8</v>
      </c>
      <c r="E27" s="140" t="s">
        <v>8</v>
      </c>
      <c r="F27" s="139" t="s">
        <v>8</v>
      </c>
      <c r="G27" s="1523" t="s">
        <v>8</v>
      </c>
      <c r="H27" s="139" t="s">
        <v>8</v>
      </c>
      <c r="I27" s="139" t="s">
        <v>8</v>
      </c>
    </row>
    <row r="28" spans="1:9" ht="15.75" thickBot="1">
      <c r="A28" s="139" t="s">
        <v>8</v>
      </c>
      <c r="B28" s="1524" t="s">
        <v>8</v>
      </c>
      <c r="C28" s="139" t="s">
        <v>8</v>
      </c>
      <c r="D28" s="139" t="s">
        <v>8</v>
      </c>
      <c r="E28" s="140" t="s">
        <v>8</v>
      </c>
      <c r="F28" s="139" t="s">
        <v>8</v>
      </c>
      <c r="G28" s="1523" t="s">
        <v>8</v>
      </c>
      <c r="H28" s="139" t="s">
        <v>8</v>
      </c>
      <c r="I28" s="139" t="s">
        <v>8</v>
      </c>
    </row>
    <row r="29" spans="1:9" ht="15.75" thickTop="1">
      <c r="A29" s="139" t="s">
        <v>8</v>
      </c>
      <c r="B29" s="1546" t="s">
        <v>8</v>
      </c>
      <c r="C29" s="1532" t="s">
        <v>8</v>
      </c>
      <c r="D29" s="1537" t="s">
        <v>381</v>
      </c>
      <c r="E29" s="1547" t="s">
        <v>8</v>
      </c>
      <c r="F29" s="1532" t="s">
        <v>8</v>
      </c>
      <c r="G29" s="1548" t="s">
        <v>8</v>
      </c>
      <c r="H29" s="1519" t="s">
        <v>8</v>
      </c>
      <c r="I29" s="139" t="s">
        <v>8</v>
      </c>
    </row>
    <row r="30" spans="1:9">
      <c r="A30" s="139" t="s">
        <v>8</v>
      </c>
      <c r="B30" s="1533" t="s">
        <v>8</v>
      </c>
      <c r="C30" s="1535" t="s">
        <v>8</v>
      </c>
      <c r="D30" s="1535" t="s">
        <v>8</v>
      </c>
      <c r="E30" s="1539" t="s">
        <v>8</v>
      </c>
      <c r="F30" s="1535" t="s">
        <v>8</v>
      </c>
      <c r="G30" s="1541" t="s">
        <v>8</v>
      </c>
      <c r="H30" s="1527" t="s">
        <v>8</v>
      </c>
      <c r="I30" s="139" t="s">
        <v>8</v>
      </c>
    </row>
    <row r="31" spans="1:9">
      <c r="A31" s="139" t="s">
        <v>8</v>
      </c>
      <c r="B31" s="1533" t="s">
        <v>8</v>
      </c>
      <c r="C31" s="1535" t="s">
        <v>8</v>
      </c>
      <c r="D31" s="1535" t="s">
        <v>8</v>
      </c>
      <c r="E31" s="1539" t="s">
        <v>8</v>
      </c>
      <c r="F31" s="1535" t="s">
        <v>8</v>
      </c>
      <c r="G31" s="1541" t="s">
        <v>8</v>
      </c>
      <c r="H31" s="1527" t="s">
        <v>8</v>
      </c>
      <c r="I31" s="139" t="s">
        <v>8</v>
      </c>
    </row>
    <row r="32" spans="1:9" ht="15.75" thickBot="1">
      <c r="A32" s="139" t="s">
        <v>8</v>
      </c>
      <c r="B32" s="1534" t="s">
        <v>8</v>
      </c>
      <c r="C32" s="1536" t="s">
        <v>8</v>
      </c>
      <c r="D32" s="1538" t="s">
        <v>51</v>
      </c>
      <c r="E32" s="1540">
        <f>SUM($E$30:$E$31)</f>
        <v>0</v>
      </c>
      <c r="F32" s="1536" t="s">
        <v>8</v>
      </c>
      <c r="G32" s="1542" t="s">
        <v>8</v>
      </c>
      <c r="H32" s="1522" t="s">
        <v>8</v>
      </c>
      <c r="I32" s="139" t="s">
        <v>8</v>
      </c>
    </row>
    <row r="33" spans="1:9" ht="15.75" thickTop="1">
      <c r="A33" s="139" t="s">
        <v>8</v>
      </c>
      <c r="B33" s="1524" t="s">
        <v>8</v>
      </c>
      <c r="C33" s="139" t="s">
        <v>8</v>
      </c>
      <c r="D33" s="139" t="s">
        <v>8</v>
      </c>
      <c r="E33" s="140" t="s">
        <v>8</v>
      </c>
      <c r="F33" s="139" t="s">
        <v>8</v>
      </c>
      <c r="G33" s="1523" t="s">
        <v>8</v>
      </c>
      <c r="H33" s="139" t="s">
        <v>8</v>
      </c>
      <c r="I33" s="139" t="s">
        <v>8</v>
      </c>
    </row>
    <row r="34" spans="1:9" ht="15.75" thickBot="1">
      <c r="A34" s="139" t="s">
        <v>8</v>
      </c>
      <c r="B34" s="1524" t="s">
        <v>8</v>
      </c>
      <c r="C34" s="139" t="s">
        <v>8</v>
      </c>
      <c r="D34" s="139" t="s">
        <v>8</v>
      </c>
      <c r="E34" s="140" t="s">
        <v>8</v>
      </c>
      <c r="F34" s="139" t="s">
        <v>8</v>
      </c>
      <c r="G34" s="1523" t="s">
        <v>8</v>
      </c>
      <c r="H34" s="139" t="s">
        <v>8</v>
      </c>
      <c r="I34" s="139" t="s">
        <v>8</v>
      </c>
    </row>
    <row r="35" spans="1:9" ht="15.75" thickTop="1">
      <c r="A35" s="139" t="s">
        <v>8</v>
      </c>
      <c r="B35" s="1546" t="s">
        <v>8</v>
      </c>
      <c r="C35" s="1532" t="s">
        <v>8</v>
      </c>
      <c r="D35" s="1537" t="s">
        <v>382</v>
      </c>
      <c r="E35" s="1547" t="s">
        <v>8</v>
      </c>
      <c r="F35" s="1532" t="s">
        <v>8</v>
      </c>
      <c r="G35" s="1548" t="s">
        <v>8</v>
      </c>
      <c r="H35" s="1519" t="s">
        <v>8</v>
      </c>
      <c r="I35" s="139" t="s">
        <v>8</v>
      </c>
    </row>
    <row r="36" spans="1:9">
      <c r="A36" s="139" t="s">
        <v>8</v>
      </c>
      <c r="B36" s="1533" t="s">
        <v>8</v>
      </c>
      <c r="C36" s="1535" t="s">
        <v>8</v>
      </c>
      <c r="D36" s="1535" t="s">
        <v>8</v>
      </c>
      <c r="E36" s="1539" t="s">
        <v>8</v>
      </c>
      <c r="F36" s="1535" t="s">
        <v>8</v>
      </c>
      <c r="G36" s="1541" t="s">
        <v>8</v>
      </c>
      <c r="H36" s="1527" t="s">
        <v>8</v>
      </c>
      <c r="I36" s="139" t="s">
        <v>8</v>
      </c>
    </row>
    <row r="37" spans="1:9">
      <c r="A37" s="139" t="s">
        <v>8</v>
      </c>
      <c r="B37" s="1533" t="s">
        <v>8</v>
      </c>
      <c r="C37" s="1535" t="s">
        <v>8</v>
      </c>
      <c r="D37" s="1535" t="s">
        <v>8</v>
      </c>
      <c r="E37" s="1539" t="s">
        <v>8</v>
      </c>
      <c r="F37" s="1535" t="s">
        <v>8</v>
      </c>
      <c r="G37" s="1541" t="s">
        <v>8</v>
      </c>
      <c r="H37" s="1527" t="s">
        <v>8</v>
      </c>
      <c r="I37" s="139" t="s">
        <v>8</v>
      </c>
    </row>
    <row r="38" spans="1:9" ht="15.75" thickBot="1">
      <c r="A38" s="139" t="s">
        <v>8</v>
      </c>
      <c r="B38" s="1534" t="s">
        <v>8</v>
      </c>
      <c r="C38" s="1536" t="s">
        <v>8</v>
      </c>
      <c r="D38" s="1538" t="s">
        <v>51</v>
      </c>
      <c r="E38" s="1540">
        <f>SUM($E$36:$E$37)</f>
        <v>0</v>
      </c>
      <c r="F38" s="1536" t="s">
        <v>8</v>
      </c>
      <c r="G38" s="1542" t="s">
        <v>8</v>
      </c>
      <c r="H38" s="1522" t="s">
        <v>8</v>
      </c>
      <c r="I38" s="139" t="s">
        <v>8</v>
      </c>
    </row>
    <row r="39" spans="1:9" ht="16.5" thickTop="1" thickBot="1">
      <c r="A39" s="139" t="s">
        <v>8</v>
      </c>
      <c r="B39" s="1524" t="s">
        <v>8</v>
      </c>
      <c r="C39" s="139" t="s">
        <v>8</v>
      </c>
      <c r="D39" s="139" t="s">
        <v>8</v>
      </c>
      <c r="E39" s="140" t="s">
        <v>8</v>
      </c>
      <c r="F39" s="139" t="s">
        <v>8</v>
      </c>
      <c r="G39" s="1523" t="s">
        <v>8</v>
      </c>
      <c r="H39" s="139" t="s">
        <v>8</v>
      </c>
      <c r="I39" s="139" t="s">
        <v>8</v>
      </c>
    </row>
    <row r="40" spans="1:9" ht="15.75" thickTop="1">
      <c r="A40" s="139" t="s">
        <v>8</v>
      </c>
      <c r="B40" s="1543" t="s">
        <v>8</v>
      </c>
      <c r="C40" s="1518" t="s">
        <v>8</v>
      </c>
      <c r="D40" s="1518" t="s">
        <v>8</v>
      </c>
      <c r="E40" s="1544" t="s">
        <v>8</v>
      </c>
      <c r="F40" s="1518" t="s">
        <v>8</v>
      </c>
      <c r="G40" s="1545" t="s">
        <v>8</v>
      </c>
      <c r="H40" s="1519" t="s">
        <v>8</v>
      </c>
      <c r="I40" s="139" t="s">
        <v>8</v>
      </c>
    </row>
    <row r="41" spans="1:9">
      <c r="A41" s="139" t="s">
        <v>8</v>
      </c>
      <c r="B41" s="1526" t="s">
        <v>8</v>
      </c>
      <c r="C41" s="2137" t="s">
        <v>8</v>
      </c>
      <c r="D41" s="2139" t="s">
        <v>114</v>
      </c>
      <c r="E41" s="2138">
        <f>ABS(E13+$E$20-$E$38+$E$26-$E$32)</f>
        <v>4283.6899999999996</v>
      </c>
      <c r="F41" s="2137" t="s">
        <v>8</v>
      </c>
      <c r="G41" s="2141" t="s">
        <v>8</v>
      </c>
      <c r="H41" s="1527" t="s">
        <v>8</v>
      </c>
      <c r="I41" s="139" t="s">
        <v>8</v>
      </c>
    </row>
    <row r="42" spans="1:9">
      <c r="A42" s="139" t="s">
        <v>8</v>
      </c>
      <c r="B42" s="1526" t="s">
        <v>8</v>
      </c>
      <c r="C42" s="2137" t="s">
        <v>8</v>
      </c>
      <c r="D42" s="2139" t="s">
        <v>115</v>
      </c>
      <c r="E42" s="2138">
        <v>4283.6899999999996</v>
      </c>
      <c r="F42" s="2137" t="s">
        <v>8</v>
      </c>
      <c r="G42" s="2141" t="s">
        <v>8</v>
      </c>
      <c r="H42" s="1527" t="s">
        <v>8</v>
      </c>
      <c r="I42" s="139" t="s">
        <v>29</v>
      </c>
    </row>
    <row r="43" spans="1:9" ht="15.75" thickBot="1">
      <c r="A43" s="139" t="s">
        <v>8</v>
      </c>
      <c r="B43" s="1528" t="s">
        <v>8</v>
      </c>
      <c r="C43" s="1521" t="s">
        <v>8</v>
      </c>
      <c r="D43" s="1529" t="s">
        <v>117</v>
      </c>
      <c r="E43" s="1530">
        <f>$E$42-$E$41</f>
        <v>0</v>
      </c>
      <c r="F43" s="1521" t="s">
        <v>8</v>
      </c>
      <c r="G43" s="1531" t="s">
        <v>8</v>
      </c>
      <c r="H43" s="1522" t="s">
        <v>8</v>
      </c>
      <c r="I43" s="139" t="s">
        <v>8</v>
      </c>
    </row>
    <row r="44" spans="1:9" ht="16.5" thickTop="1" thickBot="1">
      <c r="A44" s="139" t="s">
        <v>8</v>
      </c>
      <c r="B44" s="1524" t="s">
        <v>8</v>
      </c>
      <c r="C44" s="139" t="s">
        <v>8</v>
      </c>
      <c r="D44" s="139" t="s">
        <v>8</v>
      </c>
      <c r="E44" s="140" t="s">
        <v>8</v>
      </c>
      <c r="F44" s="139" t="s">
        <v>8</v>
      </c>
      <c r="G44" s="1523" t="s">
        <v>8</v>
      </c>
      <c r="H44" s="139" t="s">
        <v>8</v>
      </c>
      <c r="I44" s="139" t="s">
        <v>8</v>
      </c>
    </row>
    <row r="45" spans="1:9" ht="15.75" thickTop="1">
      <c r="A45" s="139" t="s">
        <v>8</v>
      </c>
      <c r="B45" s="1543" t="s">
        <v>8</v>
      </c>
      <c r="C45" s="1518" t="s">
        <v>8</v>
      </c>
      <c r="D45" s="1525" t="s">
        <v>118</v>
      </c>
      <c r="E45" s="1549" t="s">
        <v>119</v>
      </c>
      <c r="F45" s="1525" t="s">
        <v>120</v>
      </c>
      <c r="G45" s="1545">
        <v>45981</v>
      </c>
      <c r="H45" s="1519" t="s">
        <v>8</v>
      </c>
      <c r="I45" s="139" t="s">
        <v>8</v>
      </c>
    </row>
    <row r="46" spans="1:9">
      <c r="A46" s="139" t="s">
        <v>8</v>
      </c>
      <c r="B46" s="1526" t="s">
        <v>8</v>
      </c>
      <c r="C46" s="2137" t="s">
        <v>8</v>
      </c>
      <c r="D46" s="2137" t="s">
        <v>8</v>
      </c>
      <c r="E46" s="2140" t="s">
        <v>8</v>
      </c>
      <c r="F46" s="2137" t="s">
        <v>8</v>
      </c>
      <c r="G46" s="2141" t="s">
        <v>8</v>
      </c>
      <c r="H46" s="1527" t="s">
        <v>8</v>
      </c>
      <c r="I46" s="139" t="s">
        <v>8</v>
      </c>
    </row>
    <row r="47" spans="1:9">
      <c r="A47" s="139" t="s">
        <v>8</v>
      </c>
      <c r="B47" s="1526" t="s">
        <v>8</v>
      </c>
      <c r="C47" s="2137" t="s">
        <v>8</v>
      </c>
      <c r="D47" s="2137" t="s">
        <v>8</v>
      </c>
      <c r="E47" s="2140" t="s">
        <v>8</v>
      </c>
      <c r="F47" s="2137" t="s">
        <v>8</v>
      </c>
      <c r="G47" s="2141" t="s">
        <v>8</v>
      </c>
      <c r="H47" s="1527" t="s">
        <v>8</v>
      </c>
      <c r="I47" s="139" t="s">
        <v>8</v>
      </c>
    </row>
    <row r="48" spans="1:9">
      <c r="A48" s="139" t="s">
        <v>8</v>
      </c>
      <c r="B48" s="1526" t="s">
        <v>8</v>
      </c>
      <c r="C48" s="2137" t="s">
        <v>8</v>
      </c>
      <c r="D48" s="2139" t="s">
        <v>121</v>
      </c>
      <c r="E48" s="2138" t="s">
        <v>8</v>
      </c>
      <c r="F48" s="2139" t="s">
        <v>120</v>
      </c>
      <c r="G48" s="2141" t="s">
        <v>8</v>
      </c>
      <c r="H48" s="1527" t="s">
        <v>8</v>
      </c>
      <c r="I48" s="139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6" bestFit="1" customWidth="1"/>
    <col min="5" max="5" width="24.5703125" bestFit="1" customWidth="1"/>
    <col min="6" max="6" width="18.1406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44" t="s">
        <v>0</v>
      </c>
      <c r="B1" s="144" t="s">
        <v>1</v>
      </c>
      <c r="C1" s="144" t="s">
        <v>2</v>
      </c>
      <c r="D1" s="144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4" t="s">
        <v>196</v>
      </c>
    </row>
    <row r="2" spans="1:9">
      <c r="A2" s="142" t="s">
        <v>8</v>
      </c>
      <c r="B2" s="142" t="s">
        <v>8</v>
      </c>
      <c r="C2" s="142" t="s">
        <v>8</v>
      </c>
      <c r="D2" s="142" t="s">
        <v>8</v>
      </c>
      <c r="E2" s="142" t="s">
        <v>8</v>
      </c>
      <c r="F2" s="142" t="s">
        <v>8</v>
      </c>
      <c r="G2" s="142" t="s">
        <v>8</v>
      </c>
      <c r="H2" s="142" t="s">
        <v>8</v>
      </c>
      <c r="I2" s="142" t="s">
        <v>8</v>
      </c>
    </row>
    <row r="3" spans="1:9" ht="15.75" thickBot="1">
      <c r="A3" s="142" t="s">
        <v>8</v>
      </c>
      <c r="B3" s="142" t="s">
        <v>8</v>
      </c>
      <c r="C3" s="142" t="s">
        <v>8</v>
      </c>
      <c r="D3" s="142" t="s">
        <v>8</v>
      </c>
      <c r="E3" s="142" t="s">
        <v>8</v>
      </c>
      <c r="F3" s="142" t="s">
        <v>8</v>
      </c>
      <c r="G3" s="142" t="s">
        <v>8</v>
      </c>
      <c r="H3" s="142" t="s">
        <v>8</v>
      </c>
      <c r="I3" s="142" t="s">
        <v>8</v>
      </c>
    </row>
    <row r="4" spans="1:9" ht="16.5" thickTop="1" thickBot="1">
      <c r="A4" s="142" t="s">
        <v>8</v>
      </c>
      <c r="B4" s="142" t="s">
        <v>14</v>
      </c>
      <c r="C4" s="142" t="s">
        <v>8</v>
      </c>
      <c r="D4" s="1551" t="s">
        <v>15</v>
      </c>
      <c r="E4" s="142" t="s">
        <v>16</v>
      </c>
      <c r="F4" s="1551" t="s">
        <v>383</v>
      </c>
      <c r="G4" s="142" t="s">
        <v>8</v>
      </c>
      <c r="H4" s="142" t="s">
        <v>8</v>
      </c>
      <c r="I4" s="142" t="s">
        <v>8</v>
      </c>
    </row>
    <row r="5" spans="1:9" ht="16.5" thickTop="1" thickBot="1">
      <c r="A5" s="142" t="s">
        <v>8</v>
      </c>
      <c r="B5" s="142" t="s">
        <v>8</v>
      </c>
      <c r="C5" s="142" t="s">
        <v>8</v>
      </c>
      <c r="D5" s="142" t="s">
        <v>8</v>
      </c>
      <c r="E5" s="142" t="s">
        <v>8</v>
      </c>
      <c r="F5" s="142" t="s">
        <v>8</v>
      </c>
      <c r="G5" s="142" t="s">
        <v>8</v>
      </c>
      <c r="H5" s="142" t="s">
        <v>8</v>
      </c>
      <c r="I5" s="142" t="s">
        <v>8</v>
      </c>
    </row>
    <row r="6" spans="1:9" ht="16.5" thickTop="1" thickBot="1">
      <c r="A6" s="142" t="s">
        <v>8</v>
      </c>
      <c r="B6" s="142" t="s">
        <v>18</v>
      </c>
      <c r="C6" s="142" t="s">
        <v>8</v>
      </c>
      <c r="D6" s="1551" t="s">
        <v>19</v>
      </c>
      <c r="E6" s="142" t="s">
        <v>20</v>
      </c>
      <c r="F6" s="1551" t="s">
        <v>384</v>
      </c>
      <c r="G6" s="142" t="s">
        <v>8</v>
      </c>
      <c r="H6" s="142" t="s">
        <v>8</v>
      </c>
      <c r="I6" s="142" t="s">
        <v>8</v>
      </c>
    </row>
    <row r="7" spans="1:9" ht="16.5" thickTop="1" thickBot="1">
      <c r="A7" s="142" t="s">
        <v>8</v>
      </c>
      <c r="B7" s="142" t="s">
        <v>8</v>
      </c>
      <c r="C7" s="142" t="s">
        <v>8</v>
      </c>
      <c r="D7" s="142" t="s">
        <v>8</v>
      </c>
      <c r="E7" s="142" t="s">
        <v>8</v>
      </c>
      <c r="F7" s="142" t="s">
        <v>8</v>
      </c>
      <c r="G7" s="142" t="s">
        <v>8</v>
      </c>
      <c r="H7" s="142" t="s">
        <v>8</v>
      </c>
      <c r="I7" s="142" t="s">
        <v>8</v>
      </c>
    </row>
    <row r="8" spans="1:9" ht="16.5" thickTop="1" thickBot="1">
      <c r="A8" s="142" t="s">
        <v>8</v>
      </c>
      <c r="B8" s="142" t="s">
        <v>22</v>
      </c>
      <c r="C8" s="142" t="s">
        <v>8</v>
      </c>
      <c r="D8" s="1551" t="s">
        <v>11</v>
      </c>
      <c r="E8" s="142" t="s">
        <v>23</v>
      </c>
      <c r="F8" s="1551" t="s">
        <v>385</v>
      </c>
      <c r="G8" s="142" t="s">
        <v>8</v>
      </c>
      <c r="H8" s="142" t="s">
        <v>8</v>
      </c>
      <c r="I8" s="142" t="s">
        <v>8</v>
      </c>
    </row>
    <row r="9" spans="1:9" ht="16.5" thickTop="1" thickBot="1">
      <c r="A9" s="142" t="s">
        <v>8</v>
      </c>
      <c r="B9" s="142" t="s">
        <v>8</v>
      </c>
      <c r="C9" s="142" t="s">
        <v>8</v>
      </c>
      <c r="D9" s="142" t="s">
        <v>8</v>
      </c>
      <c r="E9" s="142" t="s">
        <v>8</v>
      </c>
      <c r="F9" s="142" t="s">
        <v>8</v>
      </c>
      <c r="G9" s="142" t="s">
        <v>8</v>
      </c>
      <c r="H9" s="142" t="s">
        <v>8</v>
      </c>
      <c r="I9" s="142" t="s">
        <v>8</v>
      </c>
    </row>
    <row r="10" spans="1:9" ht="16.5" thickTop="1" thickBot="1">
      <c r="A10" s="142" t="s">
        <v>8</v>
      </c>
      <c r="B10" s="142" t="s">
        <v>25</v>
      </c>
      <c r="C10" s="142" t="s">
        <v>8</v>
      </c>
      <c r="D10" s="1551" t="s">
        <v>26</v>
      </c>
      <c r="E10" s="142" t="s">
        <v>8</v>
      </c>
      <c r="F10" s="142" t="s">
        <v>8</v>
      </c>
      <c r="G10" s="142" t="s">
        <v>8</v>
      </c>
      <c r="H10" s="142" t="s">
        <v>8</v>
      </c>
      <c r="I10" s="142" t="s">
        <v>8</v>
      </c>
    </row>
    <row r="11" spans="1:9" ht="16.5" thickTop="1" thickBot="1">
      <c r="A11" s="142" t="s">
        <v>8</v>
      </c>
      <c r="B11" s="142" t="s">
        <v>8</v>
      </c>
      <c r="C11" s="142" t="s">
        <v>8</v>
      </c>
      <c r="D11" s="142" t="s">
        <v>8</v>
      </c>
      <c r="E11" s="142" t="s">
        <v>8</v>
      </c>
      <c r="F11" s="142" t="s">
        <v>8</v>
      </c>
      <c r="G11" s="142" t="s">
        <v>8</v>
      </c>
      <c r="H11" s="142" t="s">
        <v>8</v>
      </c>
      <c r="I11" s="142" t="s">
        <v>8</v>
      </c>
    </row>
    <row r="12" spans="1:9" ht="16.5" thickTop="1" thickBot="1">
      <c r="A12" s="142" t="s">
        <v>8</v>
      </c>
      <c r="B12" s="1552" t="s">
        <v>8</v>
      </c>
      <c r="C12" s="1553" t="s">
        <v>8</v>
      </c>
      <c r="D12" s="1553" t="s">
        <v>8</v>
      </c>
      <c r="E12" s="1553" t="s">
        <v>8</v>
      </c>
      <c r="F12" s="1553" t="s">
        <v>8</v>
      </c>
      <c r="G12" s="1553" t="s">
        <v>8</v>
      </c>
      <c r="H12" s="1554" t="s">
        <v>8</v>
      </c>
      <c r="I12" s="142" t="s">
        <v>8</v>
      </c>
    </row>
    <row r="13" spans="1:9" ht="16.5" thickTop="1" thickBot="1">
      <c r="A13" s="142" t="s">
        <v>8</v>
      </c>
      <c r="B13" s="1555" t="s">
        <v>8</v>
      </c>
      <c r="C13" s="1550" t="s">
        <v>11</v>
      </c>
      <c r="D13" s="1556" t="s">
        <v>28</v>
      </c>
      <c r="E13" s="1565">
        <v>60</v>
      </c>
      <c r="F13" s="1556" t="s">
        <v>8</v>
      </c>
      <c r="G13" s="1556" t="s">
        <v>8</v>
      </c>
      <c r="H13" s="1557" t="s">
        <v>8</v>
      </c>
      <c r="I13" s="142" t="s">
        <v>29</v>
      </c>
    </row>
    <row r="14" spans="1:9" ht="16.5" thickTop="1" thickBot="1">
      <c r="A14" s="142" t="s">
        <v>8</v>
      </c>
      <c r="B14" s="142" t="s">
        <v>8</v>
      </c>
      <c r="C14" s="142" t="s">
        <v>8</v>
      </c>
      <c r="D14" s="142" t="s">
        <v>8</v>
      </c>
      <c r="E14" s="142" t="s">
        <v>8</v>
      </c>
      <c r="F14" s="142" t="s">
        <v>8</v>
      </c>
      <c r="G14" s="142" t="s">
        <v>8</v>
      </c>
      <c r="H14" s="142" t="s">
        <v>8</v>
      </c>
      <c r="I14" s="142" t="s">
        <v>8</v>
      </c>
    </row>
    <row r="15" spans="1:9" ht="16.5" thickTop="1" thickBot="1">
      <c r="A15" s="142" t="s">
        <v>8</v>
      </c>
      <c r="B15" s="1551" t="s">
        <v>30</v>
      </c>
      <c r="C15" s="1550" t="s">
        <v>31</v>
      </c>
      <c r="D15" s="1550" t="s">
        <v>32</v>
      </c>
      <c r="E15" s="1550" t="s">
        <v>33</v>
      </c>
      <c r="F15" s="1550" t="s">
        <v>34</v>
      </c>
      <c r="G15" s="1550" t="s">
        <v>35</v>
      </c>
      <c r="H15" s="1550" t="s">
        <v>36</v>
      </c>
      <c r="I15" s="142" t="s">
        <v>8</v>
      </c>
    </row>
    <row r="16" spans="1:9" ht="16.5" thickTop="1" thickBot="1">
      <c r="A16" s="142" t="s">
        <v>8</v>
      </c>
      <c r="B16" s="142" t="s">
        <v>8</v>
      </c>
      <c r="C16" s="142" t="s">
        <v>8</v>
      </c>
      <c r="D16" s="142" t="s">
        <v>8</v>
      </c>
      <c r="E16" s="142" t="s">
        <v>8</v>
      </c>
      <c r="F16" s="142" t="s">
        <v>8</v>
      </c>
      <c r="G16" s="142" t="s">
        <v>8</v>
      </c>
      <c r="H16" s="142" t="s">
        <v>8</v>
      </c>
      <c r="I16" s="142" t="s">
        <v>8</v>
      </c>
    </row>
    <row r="17" spans="1:9" ht="15.75" thickTop="1">
      <c r="A17" s="142" t="s">
        <v>8</v>
      </c>
      <c r="B17" s="1567" t="s">
        <v>8</v>
      </c>
      <c r="C17" s="1567" t="s">
        <v>8</v>
      </c>
      <c r="D17" s="1572" t="s">
        <v>386</v>
      </c>
      <c r="E17" s="1567" t="s">
        <v>8</v>
      </c>
      <c r="F17" s="1567" t="s">
        <v>8</v>
      </c>
      <c r="G17" s="1567" t="s">
        <v>8</v>
      </c>
      <c r="H17" s="1554" t="s">
        <v>8</v>
      </c>
      <c r="I17" s="142" t="s">
        <v>8</v>
      </c>
    </row>
    <row r="18" spans="1:9">
      <c r="A18" s="142" t="s">
        <v>8</v>
      </c>
      <c r="B18" s="1568" t="s">
        <v>8</v>
      </c>
      <c r="C18" s="1570" t="s">
        <v>8</v>
      </c>
      <c r="D18" s="1570" t="s">
        <v>8</v>
      </c>
      <c r="E18" s="1574" t="s">
        <v>8</v>
      </c>
      <c r="F18" s="1570" t="s">
        <v>8</v>
      </c>
      <c r="G18" s="1576" t="s">
        <v>8</v>
      </c>
      <c r="H18" s="1562" t="s">
        <v>8</v>
      </c>
      <c r="I18" s="142" t="s">
        <v>8</v>
      </c>
    </row>
    <row r="19" spans="1:9">
      <c r="A19" s="142" t="s">
        <v>8</v>
      </c>
      <c r="B19" s="1568" t="s">
        <v>8</v>
      </c>
      <c r="C19" s="1570" t="s">
        <v>8</v>
      </c>
      <c r="D19" s="1570" t="s">
        <v>8</v>
      </c>
      <c r="E19" s="1574" t="s">
        <v>8</v>
      </c>
      <c r="F19" s="1570" t="s">
        <v>8</v>
      </c>
      <c r="G19" s="1576" t="s">
        <v>8</v>
      </c>
      <c r="H19" s="1562" t="s">
        <v>8</v>
      </c>
      <c r="I19" s="142" t="s">
        <v>8</v>
      </c>
    </row>
    <row r="20" spans="1:9" ht="15.75" thickBot="1">
      <c r="A20" s="142" t="s">
        <v>8</v>
      </c>
      <c r="B20" s="1569" t="s">
        <v>8</v>
      </c>
      <c r="C20" s="1571" t="s">
        <v>8</v>
      </c>
      <c r="D20" s="1573" t="s">
        <v>51</v>
      </c>
      <c r="E20" s="1575">
        <f>SUM($E$18:$E$19)</f>
        <v>0</v>
      </c>
      <c r="F20" s="1571" t="s">
        <v>8</v>
      </c>
      <c r="G20" s="1577" t="s">
        <v>8</v>
      </c>
      <c r="H20" s="1557" t="s">
        <v>8</v>
      </c>
      <c r="I20" s="142" t="s">
        <v>8</v>
      </c>
    </row>
    <row r="21" spans="1:9" ht="15.75" thickTop="1">
      <c r="A21" s="142" t="s">
        <v>8</v>
      </c>
      <c r="B21" s="1559" t="s">
        <v>8</v>
      </c>
      <c r="C21" s="142" t="s">
        <v>8</v>
      </c>
      <c r="D21" s="142" t="s">
        <v>8</v>
      </c>
      <c r="E21" s="143" t="s">
        <v>8</v>
      </c>
      <c r="F21" s="142" t="s">
        <v>8</v>
      </c>
      <c r="G21" s="1558" t="s">
        <v>8</v>
      </c>
      <c r="H21" s="142" t="s">
        <v>8</v>
      </c>
      <c r="I21" s="142" t="s">
        <v>8</v>
      </c>
    </row>
    <row r="22" spans="1:9" ht="15.75" thickBot="1">
      <c r="A22" s="142" t="s">
        <v>8</v>
      </c>
      <c r="B22" s="1559" t="s">
        <v>8</v>
      </c>
      <c r="C22" s="142" t="s">
        <v>8</v>
      </c>
      <c r="D22" s="142" t="s">
        <v>8</v>
      </c>
      <c r="E22" s="143" t="s">
        <v>8</v>
      </c>
      <c r="F22" s="142" t="s">
        <v>8</v>
      </c>
      <c r="G22" s="1558" t="s">
        <v>8</v>
      </c>
      <c r="H22" s="142" t="s">
        <v>8</v>
      </c>
      <c r="I22" s="142" t="s">
        <v>8</v>
      </c>
    </row>
    <row r="23" spans="1:9" ht="15.75" thickTop="1">
      <c r="A23" s="142" t="s">
        <v>8</v>
      </c>
      <c r="B23" s="1581" t="s">
        <v>8</v>
      </c>
      <c r="C23" s="1567" t="s">
        <v>8</v>
      </c>
      <c r="D23" s="1572" t="s">
        <v>387</v>
      </c>
      <c r="E23" s="1582" t="s">
        <v>8</v>
      </c>
      <c r="F23" s="1567" t="s">
        <v>8</v>
      </c>
      <c r="G23" s="1583" t="s">
        <v>8</v>
      </c>
      <c r="H23" s="1554" t="s">
        <v>8</v>
      </c>
      <c r="I23" s="142" t="s">
        <v>8</v>
      </c>
    </row>
    <row r="24" spans="1:9">
      <c r="A24" s="142" t="s">
        <v>8</v>
      </c>
      <c r="B24" s="1568" t="s">
        <v>8</v>
      </c>
      <c r="C24" s="1570" t="s">
        <v>8</v>
      </c>
      <c r="D24" s="1570" t="s">
        <v>8</v>
      </c>
      <c r="E24" s="1574" t="s">
        <v>8</v>
      </c>
      <c r="F24" s="1570" t="s">
        <v>8</v>
      </c>
      <c r="G24" s="1576" t="s">
        <v>8</v>
      </c>
      <c r="H24" s="1562" t="s">
        <v>8</v>
      </c>
      <c r="I24" s="142" t="s">
        <v>8</v>
      </c>
    </row>
    <row r="25" spans="1:9">
      <c r="A25" s="142" t="s">
        <v>8</v>
      </c>
      <c r="B25" s="1568" t="s">
        <v>8</v>
      </c>
      <c r="C25" s="1570" t="s">
        <v>8</v>
      </c>
      <c r="D25" s="1570" t="s">
        <v>8</v>
      </c>
      <c r="E25" s="1574" t="s">
        <v>8</v>
      </c>
      <c r="F25" s="1570" t="s">
        <v>8</v>
      </c>
      <c r="G25" s="1576" t="s">
        <v>8</v>
      </c>
      <c r="H25" s="1562" t="s">
        <v>8</v>
      </c>
      <c r="I25" s="142" t="s">
        <v>8</v>
      </c>
    </row>
    <row r="26" spans="1:9" ht="15.75" thickBot="1">
      <c r="A26" s="142" t="s">
        <v>8</v>
      </c>
      <c r="B26" s="1569" t="s">
        <v>8</v>
      </c>
      <c r="C26" s="1571" t="s">
        <v>8</v>
      </c>
      <c r="D26" s="1573" t="s">
        <v>51</v>
      </c>
      <c r="E26" s="1575">
        <f>SUM($E$24:$E$25)</f>
        <v>0</v>
      </c>
      <c r="F26" s="1571" t="s">
        <v>8</v>
      </c>
      <c r="G26" s="1577" t="s">
        <v>8</v>
      </c>
      <c r="H26" s="1557" t="s">
        <v>8</v>
      </c>
      <c r="I26" s="142" t="s">
        <v>8</v>
      </c>
    </row>
    <row r="27" spans="1:9" ht="15.75" thickTop="1">
      <c r="A27" s="142" t="s">
        <v>8</v>
      </c>
      <c r="B27" s="1559" t="s">
        <v>8</v>
      </c>
      <c r="C27" s="142" t="s">
        <v>8</v>
      </c>
      <c r="D27" s="142" t="s">
        <v>8</v>
      </c>
      <c r="E27" s="143" t="s">
        <v>8</v>
      </c>
      <c r="F27" s="142" t="s">
        <v>8</v>
      </c>
      <c r="G27" s="1558" t="s">
        <v>8</v>
      </c>
      <c r="H27" s="142" t="s">
        <v>8</v>
      </c>
      <c r="I27" s="142" t="s">
        <v>8</v>
      </c>
    </row>
    <row r="28" spans="1:9" ht="15.75" thickBot="1">
      <c r="A28" s="142" t="s">
        <v>8</v>
      </c>
      <c r="B28" s="1559" t="s">
        <v>8</v>
      </c>
      <c r="C28" s="142" t="s">
        <v>8</v>
      </c>
      <c r="D28" s="142" t="s">
        <v>8</v>
      </c>
      <c r="E28" s="143" t="s">
        <v>8</v>
      </c>
      <c r="F28" s="142" t="s">
        <v>8</v>
      </c>
      <c r="G28" s="1558" t="s">
        <v>8</v>
      </c>
      <c r="H28" s="142" t="s">
        <v>8</v>
      </c>
      <c r="I28" s="142" t="s">
        <v>8</v>
      </c>
    </row>
    <row r="29" spans="1:9" ht="15.75" thickTop="1">
      <c r="A29" s="142" t="s">
        <v>8</v>
      </c>
      <c r="B29" s="1581" t="s">
        <v>8</v>
      </c>
      <c r="C29" s="1567" t="s">
        <v>8</v>
      </c>
      <c r="D29" s="1572" t="s">
        <v>388</v>
      </c>
      <c r="E29" s="1582" t="s">
        <v>8</v>
      </c>
      <c r="F29" s="1567" t="s">
        <v>8</v>
      </c>
      <c r="G29" s="1583" t="s">
        <v>8</v>
      </c>
      <c r="H29" s="1554" t="s">
        <v>8</v>
      </c>
      <c r="I29" s="142" t="s">
        <v>8</v>
      </c>
    </row>
    <row r="30" spans="1:9">
      <c r="A30" s="142" t="s">
        <v>8</v>
      </c>
      <c r="B30" s="1568" t="s">
        <v>8</v>
      </c>
      <c r="C30" s="1570" t="s">
        <v>8</v>
      </c>
      <c r="D30" s="1570" t="s">
        <v>8</v>
      </c>
      <c r="E30" s="1574" t="s">
        <v>8</v>
      </c>
      <c r="F30" s="1570" t="s">
        <v>8</v>
      </c>
      <c r="G30" s="1576" t="s">
        <v>8</v>
      </c>
      <c r="H30" s="1562" t="s">
        <v>8</v>
      </c>
      <c r="I30" s="142" t="s">
        <v>8</v>
      </c>
    </row>
    <row r="31" spans="1:9">
      <c r="A31" s="142" t="s">
        <v>8</v>
      </c>
      <c r="B31" s="1568" t="s">
        <v>8</v>
      </c>
      <c r="C31" s="1570" t="s">
        <v>8</v>
      </c>
      <c r="D31" s="1570" t="s">
        <v>8</v>
      </c>
      <c r="E31" s="1574" t="s">
        <v>8</v>
      </c>
      <c r="F31" s="1570" t="s">
        <v>8</v>
      </c>
      <c r="G31" s="1576" t="s">
        <v>8</v>
      </c>
      <c r="H31" s="1562" t="s">
        <v>8</v>
      </c>
      <c r="I31" s="142" t="s">
        <v>8</v>
      </c>
    </row>
    <row r="32" spans="1:9" ht="15.75" thickBot="1">
      <c r="A32" s="142" t="s">
        <v>8</v>
      </c>
      <c r="B32" s="1569" t="s">
        <v>8</v>
      </c>
      <c r="C32" s="1571" t="s">
        <v>8</v>
      </c>
      <c r="D32" s="1573" t="s">
        <v>51</v>
      </c>
      <c r="E32" s="1575">
        <f>SUM($E$30:$E$31)</f>
        <v>0</v>
      </c>
      <c r="F32" s="1571" t="s">
        <v>8</v>
      </c>
      <c r="G32" s="1577" t="s">
        <v>8</v>
      </c>
      <c r="H32" s="1557" t="s">
        <v>8</v>
      </c>
      <c r="I32" s="142" t="s">
        <v>8</v>
      </c>
    </row>
    <row r="33" spans="1:9" ht="15.75" thickTop="1">
      <c r="A33" s="142" t="s">
        <v>8</v>
      </c>
      <c r="B33" s="1559" t="s">
        <v>8</v>
      </c>
      <c r="C33" s="142" t="s">
        <v>8</v>
      </c>
      <c r="D33" s="142" t="s">
        <v>8</v>
      </c>
      <c r="E33" s="143" t="s">
        <v>8</v>
      </c>
      <c r="F33" s="142" t="s">
        <v>8</v>
      </c>
      <c r="G33" s="1558" t="s">
        <v>8</v>
      </c>
      <c r="H33" s="142" t="s">
        <v>8</v>
      </c>
      <c r="I33" s="142" t="s">
        <v>8</v>
      </c>
    </row>
    <row r="34" spans="1:9" ht="15.75" thickBot="1">
      <c r="A34" s="142" t="s">
        <v>8</v>
      </c>
      <c r="B34" s="1559" t="s">
        <v>8</v>
      </c>
      <c r="C34" s="142" t="s">
        <v>8</v>
      </c>
      <c r="D34" s="142" t="s">
        <v>8</v>
      </c>
      <c r="E34" s="143" t="s">
        <v>8</v>
      </c>
      <c r="F34" s="142" t="s">
        <v>8</v>
      </c>
      <c r="G34" s="1558" t="s">
        <v>8</v>
      </c>
      <c r="H34" s="142" t="s">
        <v>8</v>
      </c>
      <c r="I34" s="142" t="s">
        <v>8</v>
      </c>
    </row>
    <row r="35" spans="1:9" ht="15.75" thickTop="1">
      <c r="A35" s="142" t="s">
        <v>8</v>
      </c>
      <c r="B35" s="1581" t="s">
        <v>8</v>
      </c>
      <c r="C35" s="1567" t="s">
        <v>8</v>
      </c>
      <c r="D35" s="1572" t="s">
        <v>389</v>
      </c>
      <c r="E35" s="1582" t="s">
        <v>8</v>
      </c>
      <c r="F35" s="1567" t="s">
        <v>8</v>
      </c>
      <c r="G35" s="1583" t="s">
        <v>8</v>
      </c>
      <c r="H35" s="1554" t="s">
        <v>8</v>
      </c>
      <c r="I35" s="142" t="s">
        <v>8</v>
      </c>
    </row>
    <row r="36" spans="1:9">
      <c r="A36" s="142" t="s">
        <v>8</v>
      </c>
      <c r="B36" s="1568" t="s">
        <v>8</v>
      </c>
      <c r="C36" s="1570" t="s">
        <v>8</v>
      </c>
      <c r="D36" s="1570" t="s">
        <v>8</v>
      </c>
      <c r="E36" s="1574" t="s">
        <v>8</v>
      </c>
      <c r="F36" s="1570" t="s">
        <v>8</v>
      </c>
      <c r="G36" s="1576" t="s">
        <v>8</v>
      </c>
      <c r="H36" s="1562" t="s">
        <v>8</v>
      </c>
      <c r="I36" s="142" t="s">
        <v>8</v>
      </c>
    </row>
    <row r="37" spans="1:9">
      <c r="A37" s="142" t="s">
        <v>8</v>
      </c>
      <c r="B37" s="1568" t="s">
        <v>8</v>
      </c>
      <c r="C37" s="1570" t="s">
        <v>8</v>
      </c>
      <c r="D37" s="1570" t="s">
        <v>8</v>
      </c>
      <c r="E37" s="1574" t="s">
        <v>8</v>
      </c>
      <c r="F37" s="1570" t="s">
        <v>8</v>
      </c>
      <c r="G37" s="1576" t="s">
        <v>8</v>
      </c>
      <c r="H37" s="1562" t="s">
        <v>8</v>
      </c>
      <c r="I37" s="142" t="s">
        <v>8</v>
      </c>
    </row>
    <row r="38" spans="1:9" ht="15.75" thickBot="1">
      <c r="A38" s="142" t="s">
        <v>8</v>
      </c>
      <c r="B38" s="1569" t="s">
        <v>8</v>
      </c>
      <c r="C38" s="1571" t="s">
        <v>8</v>
      </c>
      <c r="D38" s="1573" t="s">
        <v>51</v>
      </c>
      <c r="E38" s="1575">
        <f>SUM($E$36:$E$37)</f>
        <v>0</v>
      </c>
      <c r="F38" s="1571" t="s">
        <v>8</v>
      </c>
      <c r="G38" s="1577" t="s">
        <v>8</v>
      </c>
      <c r="H38" s="1557" t="s">
        <v>8</v>
      </c>
      <c r="I38" s="142" t="s">
        <v>8</v>
      </c>
    </row>
    <row r="39" spans="1:9" ht="16.5" thickTop="1" thickBot="1">
      <c r="A39" s="142" t="s">
        <v>8</v>
      </c>
      <c r="B39" s="1559" t="s">
        <v>8</v>
      </c>
      <c r="C39" s="142" t="s">
        <v>8</v>
      </c>
      <c r="D39" s="142" t="s">
        <v>8</v>
      </c>
      <c r="E39" s="143" t="s">
        <v>8</v>
      </c>
      <c r="F39" s="142" t="s">
        <v>8</v>
      </c>
      <c r="G39" s="1558" t="s">
        <v>8</v>
      </c>
      <c r="H39" s="142" t="s">
        <v>8</v>
      </c>
      <c r="I39" s="142" t="s">
        <v>8</v>
      </c>
    </row>
    <row r="40" spans="1:9" ht="15.75" thickTop="1">
      <c r="A40" s="142" t="s">
        <v>8</v>
      </c>
      <c r="B40" s="1578" t="s">
        <v>8</v>
      </c>
      <c r="C40" s="1553" t="s">
        <v>8</v>
      </c>
      <c r="D40" s="1553" t="s">
        <v>8</v>
      </c>
      <c r="E40" s="1579" t="s">
        <v>8</v>
      </c>
      <c r="F40" s="1553" t="s">
        <v>8</v>
      </c>
      <c r="G40" s="1580" t="s">
        <v>8</v>
      </c>
      <c r="H40" s="1554" t="s">
        <v>8</v>
      </c>
      <c r="I40" s="142" t="s">
        <v>8</v>
      </c>
    </row>
    <row r="41" spans="1:9">
      <c r="A41" s="142" t="s">
        <v>8</v>
      </c>
      <c r="B41" s="1561" t="s">
        <v>8</v>
      </c>
      <c r="C41" s="2142" t="s">
        <v>8</v>
      </c>
      <c r="D41" s="2144" t="s">
        <v>114</v>
      </c>
      <c r="E41" s="2143">
        <f>ABS(E13+$E$20-$E$38+$E$26-$E$32)</f>
        <v>60</v>
      </c>
      <c r="F41" s="2142" t="s">
        <v>8</v>
      </c>
      <c r="G41" s="2146" t="s">
        <v>8</v>
      </c>
      <c r="H41" s="1562" t="s">
        <v>8</v>
      </c>
      <c r="I41" s="142" t="s">
        <v>8</v>
      </c>
    </row>
    <row r="42" spans="1:9">
      <c r="A42" s="142" t="s">
        <v>8</v>
      </c>
      <c r="B42" s="1561" t="s">
        <v>8</v>
      </c>
      <c r="C42" s="2142" t="s">
        <v>8</v>
      </c>
      <c r="D42" s="2144" t="s">
        <v>115</v>
      </c>
      <c r="E42" s="2143">
        <v>60</v>
      </c>
      <c r="F42" s="2142" t="s">
        <v>8</v>
      </c>
      <c r="G42" s="2146" t="s">
        <v>8</v>
      </c>
      <c r="H42" s="1562" t="s">
        <v>8</v>
      </c>
      <c r="I42" s="142" t="s">
        <v>29</v>
      </c>
    </row>
    <row r="43" spans="1:9" ht="15.75" thickBot="1">
      <c r="A43" s="142" t="s">
        <v>8</v>
      </c>
      <c r="B43" s="1563" t="s">
        <v>8</v>
      </c>
      <c r="C43" s="1556" t="s">
        <v>8</v>
      </c>
      <c r="D43" s="1564" t="s">
        <v>117</v>
      </c>
      <c r="E43" s="1565">
        <f>$E$42-$E$41</f>
        <v>0</v>
      </c>
      <c r="F43" s="1556" t="s">
        <v>8</v>
      </c>
      <c r="G43" s="1566" t="s">
        <v>8</v>
      </c>
      <c r="H43" s="1557" t="s">
        <v>8</v>
      </c>
      <c r="I43" s="142" t="s">
        <v>8</v>
      </c>
    </row>
    <row r="44" spans="1:9" ht="16.5" thickTop="1" thickBot="1">
      <c r="A44" s="142" t="s">
        <v>8</v>
      </c>
      <c r="B44" s="1559" t="s">
        <v>8</v>
      </c>
      <c r="C44" s="142" t="s">
        <v>8</v>
      </c>
      <c r="D44" s="142" t="s">
        <v>8</v>
      </c>
      <c r="E44" s="143" t="s">
        <v>8</v>
      </c>
      <c r="F44" s="142" t="s">
        <v>8</v>
      </c>
      <c r="G44" s="1558" t="s">
        <v>8</v>
      </c>
      <c r="H44" s="142" t="s">
        <v>8</v>
      </c>
      <c r="I44" s="142" t="s">
        <v>8</v>
      </c>
    </row>
    <row r="45" spans="1:9" ht="15.75" thickTop="1">
      <c r="A45" s="142" t="s">
        <v>8</v>
      </c>
      <c r="B45" s="1578" t="s">
        <v>8</v>
      </c>
      <c r="C45" s="1553" t="s">
        <v>8</v>
      </c>
      <c r="D45" s="1560" t="s">
        <v>118</v>
      </c>
      <c r="E45" s="1584" t="s">
        <v>119</v>
      </c>
      <c r="F45" s="1560" t="s">
        <v>120</v>
      </c>
      <c r="G45" s="1580">
        <v>45981</v>
      </c>
      <c r="H45" s="1554" t="s">
        <v>8</v>
      </c>
      <c r="I45" s="142" t="s">
        <v>8</v>
      </c>
    </row>
    <row r="46" spans="1:9">
      <c r="A46" s="142" t="s">
        <v>8</v>
      </c>
      <c r="B46" s="1561" t="s">
        <v>8</v>
      </c>
      <c r="C46" s="2142" t="s">
        <v>8</v>
      </c>
      <c r="D46" s="2142" t="s">
        <v>8</v>
      </c>
      <c r="E46" s="2145" t="s">
        <v>8</v>
      </c>
      <c r="F46" s="2142" t="s">
        <v>8</v>
      </c>
      <c r="G46" s="2146" t="s">
        <v>8</v>
      </c>
      <c r="H46" s="1562" t="s">
        <v>8</v>
      </c>
      <c r="I46" s="142" t="s">
        <v>8</v>
      </c>
    </row>
    <row r="47" spans="1:9">
      <c r="A47" s="142" t="s">
        <v>8</v>
      </c>
      <c r="B47" s="1561" t="s">
        <v>8</v>
      </c>
      <c r="C47" s="2142" t="s">
        <v>8</v>
      </c>
      <c r="D47" s="2142" t="s">
        <v>8</v>
      </c>
      <c r="E47" s="2145" t="s">
        <v>8</v>
      </c>
      <c r="F47" s="2142" t="s">
        <v>8</v>
      </c>
      <c r="G47" s="2146" t="s">
        <v>8</v>
      </c>
      <c r="H47" s="1562" t="s">
        <v>8</v>
      </c>
      <c r="I47" s="142" t="s">
        <v>8</v>
      </c>
    </row>
    <row r="48" spans="1:9">
      <c r="A48" s="142" t="s">
        <v>8</v>
      </c>
      <c r="B48" s="1561" t="s">
        <v>8</v>
      </c>
      <c r="C48" s="2142" t="s">
        <v>8</v>
      </c>
      <c r="D48" s="2144" t="s">
        <v>121</v>
      </c>
      <c r="E48" s="2143" t="s">
        <v>8</v>
      </c>
      <c r="F48" s="2144" t="s">
        <v>120</v>
      </c>
      <c r="G48" s="2146" t="s">
        <v>8</v>
      </c>
      <c r="H48" s="1562" t="s">
        <v>8</v>
      </c>
      <c r="I48" s="142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showGridLines="0" topLeftCell="A60" workbookViewId="0">
      <selection activeCell="D79" sqref="D79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8.140625" bestFit="1" customWidth="1"/>
    <col min="5" max="5" width="24.5703125" bestFit="1" customWidth="1"/>
    <col min="6" max="6" width="18.42578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47" t="s">
        <v>0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7" t="s">
        <v>7</v>
      </c>
      <c r="I1" s="147" t="s">
        <v>196</v>
      </c>
    </row>
    <row r="2" spans="1:9">
      <c r="A2" s="145" t="s">
        <v>8</v>
      </c>
      <c r="B2" s="145" t="s">
        <v>8</v>
      </c>
      <c r="C2" s="145" t="s">
        <v>8</v>
      </c>
      <c r="D2" s="145" t="s">
        <v>8</v>
      </c>
      <c r="E2" s="145" t="s">
        <v>8</v>
      </c>
      <c r="F2" s="145" t="s">
        <v>8</v>
      </c>
      <c r="G2" s="145" t="s">
        <v>8</v>
      </c>
      <c r="H2" s="145" t="s">
        <v>8</v>
      </c>
      <c r="I2" s="145" t="s">
        <v>8</v>
      </c>
    </row>
    <row r="3" spans="1:9" ht="15.75" thickBot="1">
      <c r="A3" s="145" t="s">
        <v>8</v>
      </c>
      <c r="B3" s="145" t="s">
        <v>8</v>
      </c>
      <c r="C3" s="145" t="s">
        <v>8</v>
      </c>
      <c r="D3" s="145" t="s">
        <v>8</v>
      </c>
      <c r="E3" s="145" t="s">
        <v>8</v>
      </c>
      <c r="F3" s="145" t="s">
        <v>8</v>
      </c>
      <c r="G3" s="145" t="s">
        <v>8</v>
      </c>
      <c r="H3" s="145" t="s">
        <v>8</v>
      </c>
      <c r="I3" s="145" t="s">
        <v>8</v>
      </c>
    </row>
    <row r="4" spans="1:9" ht="16.5" thickTop="1" thickBot="1">
      <c r="A4" s="145" t="s">
        <v>8</v>
      </c>
      <c r="B4" s="145" t="s">
        <v>14</v>
      </c>
      <c r="C4" s="145" t="s">
        <v>8</v>
      </c>
      <c r="D4" s="1586" t="s">
        <v>15</v>
      </c>
      <c r="E4" s="145" t="s">
        <v>16</v>
      </c>
      <c r="F4" s="1586" t="s">
        <v>390</v>
      </c>
      <c r="G4" s="145" t="s">
        <v>8</v>
      </c>
      <c r="H4" s="145" t="s">
        <v>8</v>
      </c>
      <c r="I4" s="145" t="s">
        <v>8</v>
      </c>
    </row>
    <row r="5" spans="1:9" ht="16.5" thickTop="1" thickBot="1">
      <c r="A5" s="145" t="s">
        <v>8</v>
      </c>
      <c r="B5" s="145" t="s">
        <v>8</v>
      </c>
      <c r="C5" s="145" t="s">
        <v>8</v>
      </c>
      <c r="D5" s="145" t="s">
        <v>8</v>
      </c>
      <c r="E5" s="145" t="s">
        <v>8</v>
      </c>
      <c r="F5" s="145" t="s">
        <v>8</v>
      </c>
      <c r="G5" s="145" t="s">
        <v>8</v>
      </c>
      <c r="H5" s="145" t="s">
        <v>8</v>
      </c>
      <c r="I5" s="145" t="s">
        <v>8</v>
      </c>
    </row>
    <row r="6" spans="1:9" ht="16.5" thickTop="1" thickBot="1">
      <c r="A6" s="145" t="s">
        <v>8</v>
      </c>
      <c r="B6" s="145" t="s">
        <v>18</v>
      </c>
      <c r="C6" s="145" t="s">
        <v>8</v>
      </c>
      <c r="D6" s="1586" t="s">
        <v>19</v>
      </c>
      <c r="E6" s="145" t="s">
        <v>20</v>
      </c>
      <c r="F6" s="1586" t="s">
        <v>391</v>
      </c>
      <c r="G6" s="145" t="s">
        <v>8</v>
      </c>
      <c r="H6" s="145" t="s">
        <v>8</v>
      </c>
      <c r="I6" s="145" t="s">
        <v>8</v>
      </c>
    </row>
    <row r="7" spans="1:9" ht="16.5" thickTop="1" thickBot="1">
      <c r="A7" s="145" t="s">
        <v>8</v>
      </c>
      <c r="B7" s="145" t="s">
        <v>8</v>
      </c>
      <c r="C7" s="145" t="s">
        <v>8</v>
      </c>
      <c r="D7" s="145" t="s">
        <v>8</v>
      </c>
      <c r="E7" s="145" t="s">
        <v>8</v>
      </c>
      <c r="F7" s="145" t="s">
        <v>8</v>
      </c>
      <c r="G7" s="145" t="s">
        <v>8</v>
      </c>
      <c r="H7" s="145" t="s">
        <v>8</v>
      </c>
      <c r="I7" s="145" t="s">
        <v>8</v>
      </c>
    </row>
    <row r="8" spans="1:9" ht="16.5" thickTop="1" thickBot="1">
      <c r="A8" s="145" t="s">
        <v>8</v>
      </c>
      <c r="B8" s="145" t="s">
        <v>22</v>
      </c>
      <c r="C8" s="145" t="s">
        <v>8</v>
      </c>
      <c r="D8" s="1586" t="s">
        <v>11</v>
      </c>
      <c r="E8" s="145" t="s">
        <v>23</v>
      </c>
      <c r="F8" s="1586" t="s">
        <v>392</v>
      </c>
      <c r="G8" s="145" t="s">
        <v>8</v>
      </c>
      <c r="H8" s="145" t="s">
        <v>8</v>
      </c>
      <c r="I8" s="145" t="s">
        <v>8</v>
      </c>
    </row>
    <row r="9" spans="1:9" ht="16.5" thickTop="1" thickBot="1">
      <c r="A9" s="145" t="s">
        <v>8</v>
      </c>
      <c r="B9" s="145" t="s">
        <v>8</v>
      </c>
      <c r="C9" s="145" t="s">
        <v>8</v>
      </c>
      <c r="D9" s="145" t="s">
        <v>8</v>
      </c>
      <c r="E9" s="145" t="s">
        <v>8</v>
      </c>
      <c r="F9" s="145" t="s">
        <v>8</v>
      </c>
      <c r="G9" s="145" t="s">
        <v>8</v>
      </c>
      <c r="H9" s="145" t="s">
        <v>8</v>
      </c>
      <c r="I9" s="145" t="s">
        <v>8</v>
      </c>
    </row>
    <row r="10" spans="1:9" ht="16.5" thickTop="1" thickBot="1">
      <c r="A10" s="145" t="s">
        <v>8</v>
      </c>
      <c r="B10" s="145" t="s">
        <v>25</v>
      </c>
      <c r="C10" s="145" t="s">
        <v>8</v>
      </c>
      <c r="D10" s="1586" t="s">
        <v>26</v>
      </c>
      <c r="E10" s="145" t="s">
        <v>8</v>
      </c>
      <c r="F10" s="145" t="s">
        <v>8</v>
      </c>
      <c r="G10" s="145" t="s">
        <v>8</v>
      </c>
      <c r="H10" s="145" t="s">
        <v>8</v>
      </c>
      <c r="I10" s="145" t="s">
        <v>8</v>
      </c>
    </row>
    <row r="11" spans="1:9" ht="16.5" thickTop="1" thickBot="1">
      <c r="A11" s="145" t="s">
        <v>8</v>
      </c>
      <c r="B11" s="145" t="s">
        <v>8</v>
      </c>
      <c r="C11" s="145" t="s">
        <v>8</v>
      </c>
      <c r="D11" s="145" t="s">
        <v>8</v>
      </c>
      <c r="E11" s="145" t="s">
        <v>8</v>
      </c>
      <c r="F11" s="145" t="s">
        <v>8</v>
      </c>
      <c r="G11" s="145" t="s">
        <v>8</v>
      </c>
      <c r="H11" s="145" t="s">
        <v>8</v>
      </c>
      <c r="I11" s="145" t="s">
        <v>8</v>
      </c>
    </row>
    <row r="12" spans="1:9" ht="16.5" thickTop="1" thickBot="1">
      <c r="A12" s="145" t="s">
        <v>8</v>
      </c>
      <c r="B12" s="1587" t="s">
        <v>8</v>
      </c>
      <c r="C12" s="1588" t="s">
        <v>8</v>
      </c>
      <c r="D12" s="1588" t="s">
        <v>8</v>
      </c>
      <c r="E12" s="1588" t="s">
        <v>8</v>
      </c>
      <c r="F12" s="1588" t="s">
        <v>8</v>
      </c>
      <c r="G12" s="1588" t="s">
        <v>8</v>
      </c>
      <c r="H12" s="1589" t="s">
        <v>8</v>
      </c>
      <c r="I12" s="145" t="s">
        <v>8</v>
      </c>
    </row>
    <row r="13" spans="1:9" ht="16.5" thickTop="1" thickBot="1">
      <c r="A13" s="145" t="s">
        <v>8</v>
      </c>
      <c r="B13" s="1590" t="s">
        <v>8</v>
      </c>
      <c r="C13" s="1585" t="s">
        <v>11</v>
      </c>
      <c r="D13" s="1591" t="s">
        <v>28</v>
      </c>
      <c r="E13" s="1600">
        <v>1705613957</v>
      </c>
      <c r="F13" s="1591" t="s">
        <v>8</v>
      </c>
      <c r="G13" s="1591" t="s">
        <v>8</v>
      </c>
      <c r="H13" s="1592" t="s">
        <v>8</v>
      </c>
      <c r="I13" s="145" t="s">
        <v>29</v>
      </c>
    </row>
    <row r="14" spans="1:9" ht="16.5" thickTop="1" thickBot="1">
      <c r="A14" s="145" t="s">
        <v>8</v>
      </c>
      <c r="B14" s="145" t="s">
        <v>8</v>
      </c>
      <c r="C14" s="145" t="s">
        <v>8</v>
      </c>
      <c r="D14" s="145" t="s">
        <v>8</v>
      </c>
      <c r="E14" s="145" t="s">
        <v>8</v>
      </c>
      <c r="F14" s="145" t="s">
        <v>8</v>
      </c>
      <c r="G14" s="145" t="s">
        <v>8</v>
      </c>
      <c r="H14" s="145" t="s">
        <v>8</v>
      </c>
      <c r="I14" s="145" t="s">
        <v>8</v>
      </c>
    </row>
    <row r="15" spans="1:9" ht="16.5" thickTop="1" thickBot="1">
      <c r="A15" s="145" t="s">
        <v>8</v>
      </c>
      <c r="B15" s="1586" t="s">
        <v>30</v>
      </c>
      <c r="C15" s="1585" t="s">
        <v>31</v>
      </c>
      <c r="D15" s="1585" t="s">
        <v>32</v>
      </c>
      <c r="E15" s="1585" t="s">
        <v>33</v>
      </c>
      <c r="F15" s="1585" t="s">
        <v>34</v>
      </c>
      <c r="G15" s="1585" t="s">
        <v>35</v>
      </c>
      <c r="H15" s="1585" t="s">
        <v>36</v>
      </c>
      <c r="I15" s="145" t="s">
        <v>8</v>
      </c>
    </row>
    <row r="16" spans="1:9" ht="16.5" thickTop="1" thickBot="1">
      <c r="A16" s="145" t="s">
        <v>8</v>
      </c>
      <c r="B16" s="145" t="s">
        <v>8</v>
      </c>
      <c r="C16" s="145" t="s">
        <v>8</v>
      </c>
      <c r="D16" s="145" t="s">
        <v>8</v>
      </c>
      <c r="E16" s="145" t="s">
        <v>8</v>
      </c>
      <c r="F16" s="145" t="s">
        <v>8</v>
      </c>
      <c r="G16" s="145" t="s">
        <v>8</v>
      </c>
      <c r="H16" s="145" t="s">
        <v>8</v>
      </c>
      <c r="I16" s="145" t="s">
        <v>8</v>
      </c>
    </row>
    <row r="17" spans="1:9" ht="15.75" thickTop="1">
      <c r="A17" s="145" t="s">
        <v>8</v>
      </c>
      <c r="B17" s="1602" t="s">
        <v>8</v>
      </c>
      <c r="C17" s="1602" t="s">
        <v>8</v>
      </c>
      <c r="D17" s="1607" t="s">
        <v>393</v>
      </c>
      <c r="E17" s="1602" t="s">
        <v>8</v>
      </c>
      <c r="F17" s="1602" t="s">
        <v>8</v>
      </c>
      <c r="G17" s="1602" t="s">
        <v>8</v>
      </c>
      <c r="H17" s="1589" t="s">
        <v>8</v>
      </c>
      <c r="I17" s="145" t="s">
        <v>8</v>
      </c>
    </row>
    <row r="18" spans="1:9">
      <c r="A18" s="145" t="s">
        <v>8</v>
      </c>
      <c r="B18" s="1603">
        <v>1</v>
      </c>
      <c r="C18" s="1605" t="s">
        <v>48</v>
      </c>
      <c r="D18" s="1605" t="s">
        <v>394</v>
      </c>
      <c r="E18" s="1609">
        <v>14745000</v>
      </c>
      <c r="F18" s="1605" t="s">
        <v>395</v>
      </c>
      <c r="G18" s="1611">
        <v>1</v>
      </c>
      <c r="H18" s="1597" t="s">
        <v>41</v>
      </c>
      <c r="I18" s="145" t="s">
        <v>8</v>
      </c>
    </row>
    <row r="19" spans="1:9">
      <c r="A19" s="145" t="s">
        <v>8</v>
      </c>
      <c r="B19" s="1603" t="s">
        <v>8</v>
      </c>
      <c r="C19" s="1605" t="s">
        <v>8</v>
      </c>
      <c r="D19" s="1605" t="s">
        <v>8</v>
      </c>
      <c r="E19" s="1609" t="s">
        <v>8</v>
      </c>
      <c r="F19" s="1605" t="s">
        <v>8</v>
      </c>
      <c r="G19" s="1611" t="s">
        <v>8</v>
      </c>
      <c r="H19" s="1597" t="s">
        <v>8</v>
      </c>
      <c r="I19" s="145" t="s">
        <v>8</v>
      </c>
    </row>
    <row r="20" spans="1:9" ht="15.75" thickBot="1">
      <c r="A20" s="145" t="s">
        <v>8</v>
      </c>
      <c r="B20" s="1604" t="s">
        <v>8</v>
      </c>
      <c r="C20" s="1606" t="s">
        <v>8</v>
      </c>
      <c r="D20" s="1608" t="s">
        <v>51</v>
      </c>
      <c r="E20" s="1610">
        <f>SUM($E$18:$E$19)</f>
        <v>14745000</v>
      </c>
      <c r="F20" s="1606" t="s">
        <v>8</v>
      </c>
      <c r="G20" s="1612" t="s">
        <v>8</v>
      </c>
      <c r="H20" s="1592" t="s">
        <v>8</v>
      </c>
      <c r="I20" s="145" t="s">
        <v>8</v>
      </c>
    </row>
    <row r="21" spans="1:9" ht="15.75" thickTop="1">
      <c r="A21" s="145" t="s">
        <v>8</v>
      </c>
      <c r="B21" s="1594" t="s">
        <v>8</v>
      </c>
      <c r="C21" s="145" t="s">
        <v>8</v>
      </c>
      <c r="D21" s="145" t="s">
        <v>8</v>
      </c>
      <c r="E21" s="146" t="s">
        <v>8</v>
      </c>
      <c r="F21" s="145" t="s">
        <v>8</v>
      </c>
      <c r="G21" s="1593" t="s">
        <v>8</v>
      </c>
      <c r="H21" s="145" t="s">
        <v>8</v>
      </c>
      <c r="I21" s="145" t="s">
        <v>8</v>
      </c>
    </row>
    <row r="22" spans="1:9" ht="15.75" thickBot="1">
      <c r="A22" s="145" t="s">
        <v>8</v>
      </c>
      <c r="B22" s="1594" t="s">
        <v>8</v>
      </c>
      <c r="C22" s="145" t="s">
        <v>8</v>
      </c>
      <c r="D22" s="145" t="s">
        <v>8</v>
      </c>
      <c r="E22" s="146" t="s">
        <v>8</v>
      </c>
      <c r="F22" s="145" t="s">
        <v>8</v>
      </c>
      <c r="G22" s="1593" t="s">
        <v>8</v>
      </c>
      <c r="H22" s="145" t="s">
        <v>8</v>
      </c>
      <c r="I22" s="145" t="s">
        <v>8</v>
      </c>
    </row>
    <row r="23" spans="1:9" ht="15.75" thickTop="1">
      <c r="A23" s="145" t="s">
        <v>8</v>
      </c>
      <c r="B23" s="1616" t="s">
        <v>8</v>
      </c>
      <c r="C23" s="1602" t="s">
        <v>8</v>
      </c>
      <c r="D23" s="1607" t="s">
        <v>396</v>
      </c>
      <c r="E23" s="1617" t="s">
        <v>8</v>
      </c>
      <c r="F23" s="1602" t="s">
        <v>8</v>
      </c>
      <c r="G23" s="1618" t="s">
        <v>8</v>
      </c>
      <c r="H23" s="1589" t="s">
        <v>8</v>
      </c>
      <c r="I23" s="145" t="s">
        <v>8</v>
      </c>
    </row>
    <row r="24" spans="1:9">
      <c r="A24" s="145" t="s">
        <v>8</v>
      </c>
      <c r="B24" s="1603">
        <v>1</v>
      </c>
      <c r="C24" s="1605" t="s">
        <v>125</v>
      </c>
      <c r="D24" s="1605" t="s">
        <v>397</v>
      </c>
      <c r="E24" s="1844">
        <v>545500</v>
      </c>
      <c r="F24" s="1605" t="s">
        <v>398</v>
      </c>
      <c r="G24" s="1611">
        <v>8</v>
      </c>
      <c r="H24" s="1597" t="s">
        <v>55</v>
      </c>
      <c r="I24" s="145" t="s">
        <v>8</v>
      </c>
    </row>
    <row r="25" spans="1:9">
      <c r="A25" s="145" t="s">
        <v>8</v>
      </c>
      <c r="B25" s="1603">
        <v>2</v>
      </c>
      <c r="C25" s="1605" t="s">
        <v>125</v>
      </c>
      <c r="D25" s="1605" t="s">
        <v>399</v>
      </c>
      <c r="E25" s="1609">
        <v>1205500</v>
      </c>
      <c r="F25" s="1605" t="s">
        <v>400</v>
      </c>
      <c r="G25" s="1611">
        <v>8</v>
      </c>
      <c r="H25" s="1597" t="s">
        <v>55</v>
      </c>
      <c r="I25" s="145" t="s">
        <v>8</v>
      </c>
    </row>
    <row r="26" spans="1:9">
      <c r="A26" s="145" t="s">
        <v>8</v>
      </c>
      <c r="B26" s="1603">
        <v>3</v>
      </c>
      <c r="C26" s="1605" t="s">
        <v>190</v>
      </c>
      <c r="D26" s="1605" t="s">
        <v>401</v>
      </c>
      <c r="E26" s="1609">
        <v>10005500</v>
      </c>
      <c r="F26" s="1605" t="s">
        <v>402</v>
      </c>
      <c r="G26" s="1611">
        <v>6</v>
      </c>
      <c r="H26" s="1597" t="s">
        <v>55</v>
      </c>
      <c r="I26" s="145" t="s">
        <v>8</v>
      </c>
    </row>
    <row r="27" spans="1:9">
      <c r="A27" s="145" t="s">
        <v>8</v>
      </c>
      <c r="B27" s="1603">
        <v>4</v>
      </c>
      <c r="C27" s="1605" t="s">
        <v>48</v>
      </c>
      <c r="D27" s="1605" t="s">
        <v>403</v>
      </c>
      <c r="E27" s="1609">
        <v>10005500</v>
      </c>
      <c r="F27" s="1605" t="s">
        <v>404</v>
      </c>
      <c r="G27" s="1611">
        <v>1</v>
      </c>
      <c r="H27" s="1597" t="s">
        <v>55</v>
      </c>
      <c r="I27" s="145" t="s">
        <v>8</v>
      </c>
    </row>
    <row r="28" spans="1:9">
      <c r="A28" s="145" t="s">
        <v>8</v>
      </c>
      <c r="B28" s="1603">
        <v>5</v>
      </c>
      <c r="C28" s="1605" t="s">
        <v>48</v>
      </c>
      <c r="D28" s="1605" t="s">
        <v>405</v>
      </c>
      <c r="E28" s="1609">
        <v>500005500</v>
      </c>
      <c r="F28" s="1605" t="s">
        <v>406</v>
      </c>
      <c r="G28" s="1611">
        <v>1</v>
      </c>
      <c r="H28" s="1597" t="s">
        <v>55</v>
      </c>
      <c r="I28" s="145" t="s">
        <v>8</v>
      </c>
    </row>
    <row r="29" spans="1:9">
      <c r="A29" s="145" t="s">
        <v>8</v>
      </c>
      <c r="B29" s="1603" t="s">
        <v>8</v>
      </c>
      <c r="C29" s="1605" t="s">
        <v>8</v>
      </c>
      <c r="D29" s="1605" t="s">
        <v>8</v>
      </c>
      <c r="E29" s="1609" t="s">
        <v>8</v>
      </c>
      <c r="F29" s="1605" t="s">
        <v>8</v>
      </c>
      <c r="G29" s="1611" t="s">
        <v>8</v>
      </c>
      <c r="H29" s="1597" t="s">
        <v>8</v>
      </c>
      <c r="I29" s="145" t="s">
        <v>8</v>
      </c>
    </row>
    <row r="30" spans="1:9" ht="15.75" thickBot="1">
      <c r="A30" s="145" t="s">
        <v>8</v>
      </c>
      <c r="B30" s="1604" t="s">
        <v>8</v>
      </c>
      <c r="C30" s="1606" t="s">
        <v>8</v>
      </c>
      <c r="D30" s="1608" t="s">
        <v>51</v>
      </c>
      <c r="E30" s="1610">
        <f>SUM($E$24:$E$29)</f>
        <v>521767500</v>
      </c>
      <c r="F30" s="1606" t="s">
        <v>8</v>
      </c>
      <c r="G30" s="1612" t="s">
        <v>8</v>
      </c>
      <c r="H30" s="1592" t="s">
        <v>8</v>
      </c>
      <c r="I30" s="145" t="s">
        <v>8</v>
      </c>
    </row>
    <row r="31" spans="1:9" ht="15.75" thickTop="1">
      <c r="A31" s="145" t="s">
        <v>8</v>
      </c>
      <c r="B31" s="1594" t="s">
        <v>8</v>
      </c>
      <c r="C31" s="145" t="s">
        <v>8</v>
      </c>
      <c r="D31" s="145" t="s">
        <v>8</v>
      </c>
      <c r="E31" s="146" t="s">
        <v>8</v>
      </c>
      <c r="F31" s="145" t="s">
        <v>8</v>
      </c>
      <c r="G31" s="1593" t="s">
        <v>8</v>
      </c>
      <c r="H31" s="145" t="s">
        <v>8</v>
      </c>
      <c r="I31" s="145" t="s">
        <v>8</v>
      </c>
    </row>
    <row r="32" spans="1:9" ht="15.75" thickBot="1">
      <c r="A32" s="145" t="s">
        <v>8</v>
      </c>
      <c r="B32" s="1594" t="s">
        <v>8</v>
      </c>
      <c r="C32" s="145" t="s">
        <v>8</v>
      </c>
      <c r="D32" s="145" t="s">
        <v>8</v>
      </c>
      <c r="E32" s="146" t="s">
        <v>8</v>
      </c>
      <c r="F32" s="145" t="s">
        <v>8</v>
      </c>
      <c r="G32" s="1593" t="s">
        <v>8</v>
      </c>
      <c r="H32" s="145" t="s">
        <v>8</v>
      </c>
      <c r="I32" s="145" t="s">
        <v>8</v>
      </c>
    </row>
    <row r="33" spans="1:9" ht="15.75" thickTop="1">
      <c r="A33" s="145" t="s">
        <v>8</v>
      </c>
      <c r="B33" s="1616" t="s">
        <v>8</v>
      </c>
      <c r="C33" s="1602" t="s">
        <v>8</v>
      </c>
      <c r="D33" s="1607" t="s">
        <v>407</v>
      </c>
      <c r="E33" s="1617" t="s">
        <v>8</v>
      </c>
      <c r="F33" s="1602" t="s">
        <v>8</v>
      </c>
      <c r="G33" s="1618" t="s">
        <v>8</v>
      </c>
      <c r="H33" s="1589" t="s">
        <v>8</v>
      </c>
      <c r="I33" s="145" t="s">
        <v>8</v>
      </c>
    </row>
    <row r="34" spans="1:9">
      <c r="A34" s="145" t="s">
        <v>8</v>
      </c>
      <c r="B34" s="1603">
        <v>1</v>
      </c>
      <c r="C34" s="1605" t="s">
        <v>365</v>
      </c>
      <c r="D34" s="1605" t="s">
        <v>408</v>
      </c>
      <c r="E34" s="1609">
        <v>2000000</v>
      </c>
      <c r="F34" s="1605" t="s">
        <v>409</v>
      </c>
      <c r="G34" s="1611">
        <v>9</v>
      </c>
      <c r="H34" s="1597" t="s">
        <v>88</v>
      </c>
      <c r="I34" s="145" t="s">
        <v>8</v>
      </c>
    </row>
    <row r="35" spans="1:9">
      <c r="A35" s="145" t="s">
        <v>8</v>
      </c>
      <c r="B35" s="1603">
        <v>2</v>
      </c>
      <c r="C35" s="1605" t="s">
        <v>125</v>
      </c>
      <c r="D35" s="1605" t="s">
        <v>410</v>
      </c>
      <c r="E35" s="1609">
        <v>2000000</v>
      </c>
      <c r="F35" s="1605" t="s">
        <v>411</v>
      </c>
      <c r="G35" s="1611">
        <v>8</v>
      </c>
      <c r="H35" s="1597" t="s">
        <v>88</v>
      </c>
      <c r="I35" s="145" t="s">
        <v>8</v>
      </c>
    </row>
    <row r="36" spans="1:9">
      <c r="A36" s="145" t="s">
        <v>8</v>
      </c>
      <c r="B36" s="1603">
        <v>3</v>
      </c>
      <c r="C36" s="1605" t="s">
        <v>38</v>
      </c>
      <c r="D36" s="1605" t="s">
        <v>412</v>
      </c>
      <c r="E36" s="1609">
        <v>9350000</v>
      </c>
      <c r="F36" s="1605" t="s">
        <v>413</v>
      </c>
      <c r="G36" s="1611">
        <v>3</v>
      </c>
      <c r="H36" s="1597" t="s">
        <v>88</v>
      </c>
      <c r="I36" s="145" t="s">
        <v>8</v>
      </c>
    </row>
    <row r="37" spans="1:9">
      <c r="A37" s="145" t="s">
        <v>8</v>
      </c>
      <c r="B37" s="1603">
        <v>4</v>
      </c>
      <c r="C37" s="1605" t="s">
        <v>56</v>
      </c>
      <c r="D37" s="1605" t="s">
        <v>414</v>
      </c>
      <c r="E37" s="1609">
        <v>5191000</v>
      </c>
      <c r="F37" s="1605" t="s">
        <v>415</v>
      </c>
      <c r="G37" s="1611">
        <v>2</v>
      </c>
      <c r="H37" s="1597" t="s">
        <v>88</v>
      </c>
      <c r="I37" s="145" t="s">
        <v>8</v>
      </c>
    </row>
    <row r="38" spans="1:9">
      <c r="A38" s="145" t="s">
        <v>8</v>
      </c>
      <c r="B38" s="1603">
        <v>5</v>
      </c>
      <c r="C38" s="1605" t="s">
        <v>56</v>
      </c>
      <c r="D38" s="1605" t="s">
        <v>416</v>
      </c>
      <c r="E38" s="1609">
        <v>8410132</v>
      </c>
      <c r="F38" s="1605" t="s">
        <v>417</v>
      </c>
      <c r="G38" s="1611">
        <v>2</v>
      </c>
      <c r="H38" s="1597" t="s">
        <v>88</v>
      </c>
      <c r="I38" s="145" t="s">
        <v>8</v>
      </c>
    </row>
    <row r="39" spans="1:9">
      <c r="A39" s="145" t="s">
        <v>8</v>
      </c>
      <c r="B39" s="1603">
        <v>6</v>
      </c>
      <c r="C39" s="1605" t="s">
        <v>56</v>
      </c>
      <c r="D39" s="1605" t="s">
        <v>418</v>
      </c>
      <c r="E39" s="1609">
        <v>14475000</v>
      </c>
      <c r="F39" s="1605" t="s">
        <v>419</v>
      </c>
      <c r="G39" s="1611">
        <v>2</v>
      </c>
      <c r="H39" s="1597" t="s">
        <v>88</v>
      </c>
      <c r="I39" s="145" t="s">
        <v>8</v>
      </c>
    </row>
    <row r="40" spans="1:9">
      <c r="A40" s="145" t="s">
        <v>8</v>
      </c>
      <c r="B40" s="1603">
        <v>7</v>
      </c>
      <c r="C40" s="1605" t="s">
        <v>56</v>
      </c>
      <c r="D40" s="1605" t="s">
        <v>420</v>
      </c>
      <c r="E40" s="1609">
        <v>14475000</v>
      </c>
      <c r="F40" s="1605" t="s">
        <v>421</v>
      </c>
      <c r="G40" s="1611">
        <v>2</v>
      </c>
      <c r="H40" s="1597" t="s">
        <v>88</v>
      </c>
      <c r="I40" s="145" t="s">
        <v>8</v>
      </c>
    </row>
    <row r="41" spans="1:9">
      <c r="A41" s="145" t="s">
        <v>8</v>
      </c>
      <c r="B41" s="1603">
        <v>8</v>
      </c>
      <c r="C41" s="1605" t="s">
        <v>56</v>
      </c>
      <c r="D41" s="1605" t="s">
        <v>422</v>
      </c>
      <c r="E41" s="1609">
        <v>35576000</v>
      </c>
      <c r="F41" s="1605" t="s">
        <v>423</v>
      </c>
      <c r="G41" s="1611">
        <v>2</v>
      </c>
      <c r="H41" s="1597" t="s">
        <v>88</v>
      </c>
      <c r="I41" s="145" t="s">
        <v>8</v>
      </c>
    </row>
    <row r="42" spans="1:9">
      <c r="A42" s="145" t="s">
        <v>8</v>
      </c>
      <c r="B42" s="1603">
        <v>9</v>
      </c>
      <c r="C42" s="1605" t="s">
        <v>27</v>
      </c>
      <c r="D42" s="1605" t="s">
        <v>424</v>
      </c>
      <c r="E42" s="1609">
        <v>17500</v>
      </c>
      <c r="F42" s="1605" t="s">
        <v>425</v>
      </c>
      <c r="G42" s="1611">
        <v>0</v>
      </c>
      <c r="H42" s="1597" t="s">
        <v>88</v>
      </c>
      <c r="I42" s="145" t="s">
        <v>8</v>
      </c>
    </row>
    <row r="43" spans="1:9">
      <c r="A43" s="145" t="s">
        <v>8</v>
      </c>
      <c r="B43" s="1603">
        <v>10</v>
      </c>
      <c r="C43" s="1605" t="s">
        <v>27</v>
      </c>
      <c r="D43" s="1605" t="s">
        <v>426</v>
      </c>
      <c r="E43" s="1609">
        <v>165300</v>
      </c>
      <c r="F43" s="1605" t="s">
        <v>427</v>
      </c>
      <c r="G43" s="1611">
        <v>0</v>
      </c>
      <c r="H43" s="1597" t="s">
        <v>88</v>
      </c>
      <c r="I43" s="145" t="s">
        <v>8</v>
      </c>
    </row>
    <row r="44" spans="1:9">
      <c r="A44" s="145" t="s">
        <v>8</v>
      </c>
      <c r="B44" s="1603">
        <v>11</v>
      </c>
      <c r="C44" s="1605" t="s">
        <v>27</v>
      </c>
      <c r="D44" s="1605" t="s">
        <v>428</v>
      </c>
      <c r="E44" s="1609">
        <v>298350</v>
      </c>
      <c r="F44" s="1605" t="s">
        <v>429</v>
      </c>
      <c r="G44" s="1611">
        <v>0</v>
      </c>
      <c r="H44" s="1597" t="s">
        <v>88</v>
      </c>
      <c r="I44" s="145" t="s">
        <v>8</v>
      </c>
    </row>
    <row r="45" spans="1:9">
      <c r="A45" s="145" t="s">
        <v>8</v>
      </c>
      <c r="B45" s="1603">
        <v>12</v>
      </c>
      <c r="C45" s="1605" t="s">
        <v>27</v>
      </c>
      <c r="D45" s="1605" t="s">
        <v>430</v>
      </c>
      <c r="E45" s="1609">
        <v>775200</v>
      </c>
      <c r="F45" s="1605" t="s">
        <v>431</v>
      </c>
      <c r="G45" s="1611">
        <v>0</v>
      </c>
      <c r="H45" s="1597" t="s">
        <v>88</v>
      </c>
      <c r="I45" s="145" t="s">
        <v>8</v>
      </c>
    </row>
    <row r="46" spans="1:9">
      <c r="A46" s="145" t="s">
        <v>8</v>
      </c>
      <c r="B46" s="1603">
        <v>13</v>
      </c>
      <c r="C46" s="1605" t="s">
        <v>27</v>
      </c>
      <c r="D46" s="1605" t="s">
        <v>432</v>
      </c>
      <c r="E46" s="1609">
        <v>800000</v>
      </c>
      <c r="F46" s="1605" t="s">
        <v>433</v>
      </c>
      <c r="G46" s="1611">
        <v>0</v>
      </c>
      <c r="H46" s="1597" t="s">
        <v>88</v>
      </c>
      <c r="I46" s="145" t="s">
        <v>8</v>
      </c>
    </row>
    <row r="47" spans="1:9">
      <c r="A47" s="145" t="s">
        <v>8</v>
      </c>
      <c r="B47" s="1603">
        <v>14</v>
      </c>
      <c r="C47" s="1605" t="s">
        <v>27</v>
      </c>
      <c r="D47" s="1605" t="s">
        <v>434</v>
      </c>
      <c r="E47" s="1609">
        <v>1166900</v>
      </c>
      <c r="F47" s="1605" t="s">
        <v>435</v>
      </c>
      <c r="G47" s="1611">
        <v>0</v>
      </c>
      <c r="H47" s="1597" t="s">
        <v>88</v>
      </c>
      <c r="I47" s="145" t="s">
        <v>8</v>
      </c>
    </row>
    <row r="48" spans="1:9">
      <c r="A48" s="145" t="s">
        <v>8</v>
      </c>
      <c r="B48" s="1603">
        <v>15</v>
      </c>
      <c r="C48" s="1605" t="s">
        <v>27</v>
      </c>
      <c r="D48" s="1605" t="s">
        <v>436</v>
      </c>
      <c r="E48" s="1609">
        <v>1680000</v>
      </c>
      <c r="F48" s="1605" t="s">
        <v>437</v>
      </c>
      <c r="G48" s="1611">
        <v>0</v>
      </c>
      <c r="H48" s="1597" t="s">
        <v>88</v>
      </c>
      <c r="I48" s="145" t="s">
        <v>8</v>
      </c>
    </row>
    <row r="49" spans="1:9">
      <c r="A49" s="145" t="s">
        <v>8</v>
      </c>
      <c r="B49" s="1603">
        <v>16</v>
      </c>
      <c r="C49" s="1605" t="s">
        <v>27</v>
      </c>
      <c r="D49" s="1605" t="s">
        <v>438</v>
      </c>
      <c r="E49" s="1609">
        <v>1909700</v>
      </c>
      <c r="F49" s="1605" t="s">
        <v>439</v>
      </c>
      <c r="G49" s="1611">
        <v>0</v>
      </c>
      <c r="H49" s="1597" t="s">
        <v>88</v>
      </c>
      <c r="I49" s="145" t="s">
        <v>8</v>
      </c>
    </row>
    <row r="50" spans="1:9">
      <c r="A50" s="145" t="s">
        <v>8</v>
      </c>
      <c r="B50" s="1603">
        <v>17</v>
      </c>
      <c r="C50" s="1605" t="s">
        <v>27</v>
      </c>
      <c r="D50" s="1605" t="s">
        <v>440</v>
      </c>
      <c r="E50" s="1609">
        <v>2150000</v>
      </c>
      <c r="F50" s="1605" t="s">
        <v>441</v>
      </c>
      <c r="G50" s="1611">
        <v>0</v>
      </c>
      <c r="H50" s="1597" t="s">
        <v>88</v>
      </c>
      <c r="I50" s="145" t="s">
        <v>8</v>
      </c>
    </row>
    <row r="51" spans="1:9">
      <c r="A51" s="145" t="s">
        <v>8</v>
      </c>
      <c r="B51" s="1603">
        <v>18</v>
      </c>
      <c r="C51" s="1605" t="s">
        <v>27</v>
      </c>
      <c r="D51" s="1605" t="s">
        <v>442</v>
      </c>
      <c r="E51" s="1609">
        <v>2169540</v>
      </c>
      <c r="F51" s="1605" t="s">
        <v>443</v>
      </c>
      <c r="G51" s="1611">
        <v>0</v>
      </c>
      <c r="H51" s="1597" t="s">
        <v>88</v>
      </c>
      <c r="I51" s="145" t="s">
        <v>8</v>
      </c>
    </row>
    <row r="52" spans="1:9">
      <c r="A52" s="145" t="s">
        <v>8</v>
      </c>
      <c r="B52" s="1603">
        <v>19</v>
      </c>
      <c r="C52" s="1605" t="s">
        <v>27</v>
      </c>
      <c r="D52" s="1605" t="s">
        <v>444</v>
      </c>
      <c r="E52" s="1609">
        <v>2500000</v>
      </c>
      <c r="F52" s="1605" t="s">
        <v>445</v>
      </c>
      <c r="G52" s="1611">
        <v>0</v>
      </c>
      <c r="H52" s="1597" t="s">
        <v>88</v>
      </c>
      <c r="I52" s="145" t="s">
        <v>8</v>
      </c>
    </row>
    <row r="53" spans="1:9">
      <c r="A53" s="145" t="s">
        <v>8</v>
      </c>
      <c r="B53" s="1603">
        <v>20</v>
      </c>
      <c r="C53" s="1605" t="s">
        <v>27</v>
      </c>
      <c r="D53" s="1605" t="s">
        <v>446</v>
      </c>
      <c r="E53" s="1609">
        <v>2687300</v>
      </c>
      <c r="F53" s="1605" t="s">
        <v>447</v>
      </c>
      <c r="G53" s="1611">
        <v>0</v>
      </c>
      <c r="H53" s="1597" t="s">
        <v>88</v>
      </c>
      <c r="I53" s="145" t="s">
        <v>8</v>
      </c>
    </row>
    <row r="54" spans="1:9">
      <c r="A54" s="145" t="s">
        <v>8</v>
      </c>
      <c r="B54" s="1603">
        <v>21</v>
      </c>
      <c r="C54" s="1605" t="s">
        <v>27</v>
      </c>
      <c r="D54" s="1605" t="s">
        <v>448</v>
      </c>
      <c r="E54" s="1609">
        <v>3000000</v>
      </c>
      <c r="F54" s="1605" t="s">
        <v>449</v>
      </c>
      <c r="G54" s="1611">
        <v>0</v>
      </c>
      <c r="H54" s="1597" t="s">
        <v>88</v>
      </c>
      <c r="I54" s="145" t="s">
        <v>8</v>
      </c>
    </row>
    <row r="55" spans="1:9">
      <c r="A55" s="145" t="s">
        <v>8</v>
      </c>
      <c r="B55" s="1603">
        <v>22</v>
      </c>
      <c r="C55" s="1605" t="s">
        <v>27</v>
      </c>
      <c r="D55" s="1605" t="s">
        <v>450</v>
      </c>
      <c r="E55" s="1609">
        <v>3526500</v>
      </c>
      <c r="F55" s="1605" t="s">
        <v>451</v>
      </c>
      <c r="G55" s="1611">
        <v>0</v>
      </c>
      <c r="H55" s="1597" t="s">
        <v>88</v>
      </c>
      <c r="I55" s="145" t="s">
        <v>8</v>
      </c>
    </row>
    <row r="56" spans="1:9">
      <c r="A56" s="145" t="s">
        <v>8</v>
      </c>
      <c r="B56" s="1603">
        <v>23</v>
      </c>
      <c r="C56" s="1605" t="s">
        <v>27</v>
      </c>
      <c r="D56" s="1605" t="s">
        <v>452</v>
      </c>
      <c r="E56" s="1609">
        <v>3787000</v>
      </c>
      <c r="F56" s="1605" t="s">
        <v>453</v>
      </c>
      <c r="G56" s="1611">
        <v>0</v>
      </c>
      <c r="H56" s="1597" t="s">
        <v>88</v>
      </c>
      <c r="I56" s="145" t="s">
        <v>8</v>
      </c>
    </row>
    <row r="57" spans="1:9">
      <c r="A57" s="145" t="s">
        <v>8</v>
      </c>
      <c r="B57" s="1603">
        <v>24</v>
      </c>
      <c r="C57" s="1605" t="s">
        <v>27</v>
      </c>
      <c r="D57" s="1605" t="s">
        <v>454</v>
      </c>
      <c r="E57" s="1609">
        <v>4457125</v>
      </c>
      <c r="F57" s="1605" t="s">
        <v>455</v>
      </c>
      <c r="G57" s="1611">
        <v>0</v>
      </c>
      <c r="H57" s="1597" t="s">
        <v>88</v>
      </c>
      <c r="I57" s="145" t="s">
        <v>8</v>
      </c>
    </row>
    <row r="58" spans="1:9">
      <c r="A58" s="145" t="s">
        <v>8</v>
      </c>
      <c r="B58" s="1603">
        <v>25</v>
      </c>
      <c r="C58" s="1605" t="s">
        <v>27</v>
      </c>
      <c r="D58" s="1605" t="s">
        <v>456</v>
      </c>
      <c r="E58" s="1609">
        <v>5000000</v>
      </c>
      <c r="F58" s="1605" t="s">
        <v>457</v>
      </c>
      <c r="G58" s="1611">
        <v>0</v>
      </c>
      <c r="H58" s="1597" t="s">
        <v>88</v>
      </c>
      <c r="I58" s="145" t="s">
        <v>8</v>
      </c>
    </row>
    <row r="59" spans="1:9">
      <c r="A59" s="145" t="s">
        <v>8</v>
      </c>
      <c r="B59" s="1603">
        <v>26</v>
      </c>
      <c r="C59" s="1605" t="s">
        <v>27</v>
      </c>
      <c r="D59" s="1605" t="s">
        <v>458</v>
      </c>
      <c r="E59" s="1609">
        <v>5293800</v>
      </c>
      <c r="F59" s="1605" t="s">
        <v>459</v>
      </c>
      <c r="G59" s="1611">
        <v>0</v>
      </c>
      <c r="H59" s="1597" t="s">
        <v>88</v>
      </c>
      <c r="I59" s="145" t="s">
        <v>8</v>
      </c>
    </row>
    <row r="60" spans="1:9">
      <c r="A60" s="145" t="s">
        <v>8</v>
      </c>
      <c r="B60" s="1603">
        <v>27</v>
      </c>
      <c r="C60" s="1605" t="s">
        <v>27</v>
      </c>
      <c r="D60" s="1605" t="s">
        <v>460</v>
      </c>
      <c r="E60" s="1609">
        <v>5411900</v>
      </c>
      <c r="F60" s="1605" t="s">
        <v>461</v>
      </c>
      <c r="G60" s="1611">
        <v>0</v>
      </c>
      <c r="H60" s="1597" t="s">
        <v>88</v>
      </c>
      <c r="I60" s="145" t="s">
        <v>8</v>
      </c>
    </row>
    <row r="61" spans="1:9">
      <c r="A61" s="145" t="s">
        <v>8</v>
      </c>
      <c r="B61" s="1603">
        <v>28</v>
      </c>
      <c r="C61" s="1605" t="s">
        <v>27</v>
      </c>
      <c r="D61" s="1605" t="s">
        <v>462</v>
      </c>
      <c r="E61" s="1609">
        <v>6088500</v>
      </c>
      <c r="F61" s="1605" t="s">
        <v>463</v>
      </c>
      <c r="G61" s="1611">
        <v>0</v>
      </c>
      <c r="H61" s="1597" t="s">
        <v>88</v>
      </c>
      <c r="I61" s="145" t="s">
        <v>8</v>
      </c>
    </row>
    <row r="62" spans="1:9">
      <c r="A62" s="145" t="s">
        <v>8</v>
      </c>
      <c r="B62" s="1603">
        <v>29</v>
      </c>
      <c r="C62" s="1605" t="s">
        <v>27</v>
      </c>
      <c r="D62" s="1605" t="s">
        <v>464</v>
      </c>
      <c r="E62" s="1609">
        <v>7890000</v>
      </c>
      <c r="F62" s="1605" t="s">
        <v>465</v>
      </c>
      <c r="G62" s="1611">
        <v>0</v>
      </c>
      <c r="H62" s="1597" t="s">
        <v>88</v>
      </c>
      <c r="I62" s="145" t="s">
        <v>8</v>
      </c>
    </row>
    <row r="63" spans="1:9">
      <c r="A63" s="145" t="s">
        <v>8</v>
      </c>
      <c r="B63" s="1603">
        <v>30</v>
      </c>
      <c r="C63" s="1605" t="s">
        <v>27</v>
      </c>
      <c r="D63" s="1605" t="s">
        <v>466</v>
      </c>
      <c r="E63" s="1609">
        <v>14252000</v>
      </c>
      <c r="F63" s="1605" t="s">
        <v>467</v>
      </c>
      <c r="G63" s="1611">
        <v>0</v>
      </c>
      <c r="H63" s="1597" t="s">
        <v>88</v>
      </c>
      <c r="I63" s="145" t="s">
        <v>8</v>
      </c>
    </row>
    <row r="64" spans="1:9">
      <c r="A64" s="145" t="s">
        <v>8</v>
      </c>
      <c r="B64" s="1603">
        <v>31</v>
      </c>
      <c r="C64" s="1605" t="s">
        <v>27</v>
      </c>
      <c r="D64" s="1605" t="s">
        <v>468</v>
      </c>
      <c r="E64" s="1609">
        <v>14542500</v>
      </c>
      <c r="F64" s="1605" t="s">
        <v>469</v>
      </c>
      <c r="G64" s="1611">
        <v>0</v>
      </c>
      <c r="H64" s="1597" t="s">
        <v>88</v>
      </c>
      <c r="I64" s="145" t="s">
        <v>8</v>
      </c>
    </row>
    <row r="65" spans="1:9">
      <c r="A65" s="145" t="s">
        <v>8</v>
      </c>
      <c r="B65" s="1603">
        <v>32</v>
      </c>
      <c r="C65" s="1605" t="s">
        <v>27</v>
      </c>
      <c r="D65" s="1605" t="s">
        <v>470</v>
      </c>
      <c r="E65" s="1609">
        <v>15000000</v>
      </c>
      <c r="F65" s="1605" t="s">
        <v>471</v>
      </c>
      <c r="G65" s="1611">
        <v>0</v>
      </c>
      <c r="H65" s="1597" t="s">
        <v>88</v>
      </c>
      <c r="I65" s="145" t="s">
        <v>8</v>
      </c>
    </row>
    <row r="66" spans="1:9">
      <c r="A66" s="145" t="s">
        <v>8</v>
      </c>
      <c r="B66" s="1603">
        <v>33</v>
      </c>
      <c r="C66" s="1605" t="s">
        <v>27</v>
      </c>
      <c r="D66" s="1605" t="s">
        <v>472</v>
      </c>
      <c r="E66" s="1609">
        <v>15730000</v>
      </c>
      <c r="F66" s="1605" t="s">
        <v>473</v>
      </c>
      <c r="G66" s="1611">
        <v>0</v>
      </c>
      <c r="H66" s="1597" t="s">
        <v>88</v>
      </c>
      <c r="I66" s="145" t="s">
        <v>8</v>
      </c>
    </row>
    <row r="67" spans="1:9">
      <c r="A67" s="145" t="s">
        <v>8</v>
      </c>
      <c r="B67" s="1603">
        <v>34</v>
      </c>
      <c r="C67" s="1605" t="s">
        <v>27</v>
      </c>
      <c r="D67" s="1605" t="s">
        <v>474</v>
      </c>
      <c r="E67" s="1609">
        <v>15730000</v>
      </c>
      <c r="F67" s="1605" t="s">
        <v>475</v>
      </c>
      <c r="G67" s="1611">
        <v>0</v>
      </c>
      <c r="H67" s="1597" t="s">
        <v>88</v>
      </c>
      <c r="I67" s="145" t="s">
        <v>8</v>
      </c>
    </row>
    <row r="68" spans="1:9">
      <c r="A68" s="145" t="s">
        <v>8</v>
      </c>
      <c r="B68" s="1603">
        <v>35</v>
      </c>
      <c r="C68" s="1605" t="s">
        <v>27</v>
      </c>
      <c r="D68" s="1605" t="s">
        <v>476</v>
      </c>
      <c r="E68" s="1609">
        <v>21174000</v>
      </c>
      <c r="F68" s="1605" t="s">
        <v>477</v>
      </c>
      <c r="G68" s="1611">
        <v>0</v>
      </c>
      <c r="H68" s="1597" t="s">
        <v>88</v>
      </c>
      <c r="I68" s="145" t="s">
        <v>8</v>
      </c>
    </row>
    <row r="69" spans="1:9">
      <c r="A69" s="145" t="s">
        <v>8</v>
      </c>
      <c r="B69" s="1603">
        <v>36</v>
      </c>
      <c r="C69" s="1605" t="s">
        <v>27</v>
      </c>
      <c r="D69" s="1605" t="s">
        <v>478</v>
      </c>
      <c r="E69" s="1609">
        <v>22620000</v>
      </c>
      <c r="F69" s="1605" t="s">
        <v>479</v>
      </c>
      <c r="G69" s="1611">
        <v>0</v>
      </c>
      <c r="H69" s="1597" t="s">
        <v>88</v>
      </c>
      <c r="I69" s="145" t="s">
        <v>8</v>
      </c>
    </row>
    <row r="70" spans="1:9">
      <c r="A70" s="145" t="s">
        <v>8</v>
      </c>
      <c r="B70" s="1603">
        <v>37</v>
      </c>
      <c r="C70" s="1605" t="s">
        <v>27</v>
      </c>
      <c r="D70" s="1605" t="s">
        <v>480</v>
      </c>
      <c r="E70" s="1609">
        <v>341804817</v>
      </c>
      <c r="F70" s="1605" t="s">
        <v>481</v>
      </c>
      <c r="G70" s="1611">
        <v>0</v>
      </c>
      <c r="H70" s="1597" t="s">
        <v>88</v>
      </c>
      <c r="I70" s="145" t="s">
        <v>8</v>
      </c>
    </row>
    <row r="71" spans="1:9">
      <c r="A71" s="145" t="s">
        <v>8</v>
      </c>
      <c r="B71" s="1603" t="s">
        <v>8</v>
      </c>
      <c r="C71" s="1605" t="s">
        <v>8</v>
      </c>
      <c r="D71" s="1605" t="s">
        <v>8</v>
      </c>
      <c r="E71" s="1609" t="s">
        <v>8</v>
      </c>
      <c r="F71" s="1605" t="s">
        <v>8</v>
      </c>
      <c r="G71" s="1611" t="s">
        <v>8</v>
      </c>
      <c r="H71" s="1597" t="s">
        <v>8</v>
      </c>
      <c r="I71" s="145" t="s">
        <v>8</v>
      </c>
    </row>
    <row r="72" spans="1:9" ht="15.75" thickBot="1">
      <c r="A72" s="145" t="s">
        <v>8</v>
      </c>
      <c r="B72" s="1604" t="s">
        <v>8</v>
      </c>
      <c r="C72" s="1606" t="s">
        <v>8</v>
      </c>
      <c r="D72" s="1608" t="s">
        <v>51</v>
      </c>
      <c r="E72" s="1610">
        <f>SUM($E$34:$E$71)</f>
        <v>613105064</v>
      </c>
      <c r="F72" s="1606" t="s">
        <v>8</v>
      </c>
      <c r="G72" s="1612" t="s">
        <v>8</v>
      </c>
      <c r="H72" s="1592" t="s">
        <v>8</v>
      </c>
      <c r="I72" s="145" t="s">
        <v>8</v>
      </c>
    </row>
    <row r="73" spans="1:9" ht="15.75" thickTop="1">
      <c r="A73" s="145" t="s">
        <v>8</v>
      </c>
      <c r="B73" s="1594" t="s">
        <v>8</v>
      </c>
      <c r="C73" s="145" t="s">
        <v>8</v>
      </c>
      <c r="D73" s="145" t="s">
        <v>8</v>
      </c>
      <c r="E73" s="146" t="s">
        <v>8</v>
      </c>
      <c r="F73" s="145" t="s">
        <v>8</v>
      </c>
      <c r="G73" s="1593" t="s">
        <v>8</v>
      </c>
      <c r="H73" s="145" t="s">
        <v>8</v>
      </c>
      <c r="I73" s="145" t="s">
        <v>8</v>
      </c>
    </row>
    <row r="74" spans="1:9" ht="15.75" thickBot="1">
      <c r="A74" s="145" t="s">
        <v>8</v>
      </c>
      <c r="B74" s="1594" t="s">
        <v>8</v>
      </c>
      <c r="C74" s="145" t="s">
        <v>8</v>
      </c>
      <c r="D74" s="145" t="s">
        <v>8</v>
      </c>
      <c r="E74" s="146" t="s">
        <v>8</v>
      </c>
      <c r="F74" s="145" t="s">
        <v>8</v>
      </c>
      <c r="G74" s="1593" t="s">
        <v>8</v>
      </c>
      <c r="H74" s="145" t="s">
        <v>8</v>
      </c>
      <c r="I74" s="145" t="s">
        <v>8</v>
      </c>
    </row>
    <row r="75" spans="1:9" ht="15.75" thickTop="1">
      <c r="A75" s="145" t="s">
        <v>8</v>
      </c>
      <c r="B75" s="1616" t="s">
        <v>8</v>
      </c>
      <c r="C75" s="1602" t="s">
        <v>8</v>
      </c>
      <c r="D75" s="1607" t="s">
        <v>482</v>
      </c>
      <c r="E75" s="1617" t="s">
        <v>8</v>
      </c>
      <c r="F75" s="1602" t="s">
        <v>8</v>
      </c>
      <c r="G75" s="1618" t="s">
        <v>8</v>
      </c>
      <c r="H75" s="1589" t="s">
        <v>8</v>
      </c>
      <c r="I75" s="145" t="s">
        <v>8</v>
      </c>
    </row>
    <row r="76" spans="1:9">
      <c r="A76" s="145" t="s">
        <v>8</v>
      </c>
      <c r="B76" s="1603">
        <v>1</v>
      </c>
      <c r="C76" s="1605" t="s">
        <v>365</v>
      </c>
      <c r="D76" s="1605" t="s">
        <v>483</v>
      </c>
      <c r="E76" s="1609">
        <v>540000</v>
      </c>
      <c r="F76" s="1605" t="s">
        <v>484</v>
      </c>
      <c r="G76" s="1611">
        <v>9</v>
      </c>
      <c r="H76" s="1597" t="s">
        <v>96</v>
      </c>
      <c r="I76" s="145" t="s">
        <v>8</v>
      </c>
    </row>
    <row r="77" spans="1:9">
      <c r="A77" s="145" t="s">
        <v>8</v>
      </c>
      <c r="B77" s="1603">
        <v>2</v>
      </c>
      <c r="C77" s="1605" t="s">
        <v>365</v>
      </c>
      <c r="D77" s="1605" t="s">
        <v>485</v>
      </c>
      <c r="E77" s="1609">
        <v>1200000</v>
      </c>
      <c r="F77" s="1605" t="s">
        <v>486</v>
      </c>
      <c r="G77" s="1611">
        <v>9</v>
      </c>
      <c r="H77" s="1597" t="s">
        <v>96</v>
      </c>
      <c r="I77" s="145" t="s">
        <v>8</v>
      </c>
    </row>
    <row r="78" spans="1:9">
      <c r="A78" s="145" t="s">
        <v>8</v>
      </c>
      <c r="B78" s="1603">
        <v>3</v>
      </c>
      <c r="C78" s="1605" t="s">
        <v>38</v>
      </c>
      <c r="D78" s="1605" t="s">
        <v>487</v>
      </c>
      <c r="E78" s="1609">
        <v>500000000</v>
      </c>
      <c r="F78" s="1605" t="s">
        <v>488</v>
      </c>
      <c r="G78" s="1611">
        <v>3</v>
      </c>
      <c r="H78" s="1597" t="s">
        <v>96</v>
      </c>
      <c r="I78" s="145" t="s">
        <v>8</v>
      </c>
    </row>
    <row r="79" spans="1:9">
      <c r="A79" s="145" t="s">
        <v>8</v>
      </c>
      <c r="B79" s="1603">
        <v>4</v>
      </c>
      <c r="C79" s="1605" t="s">
        <v>56</v>
      </c>
      <c r="D79" s="1605" t="s">
        <v>489</v>
      </c>
      <c r="E79" s="1609">
        <v>10000000</v>
      </c>
      <c r="F79" s="1605" t="s">
        <v>490</v>
      </c>
      <c r="G79" s="1611">
        <v>2</v>
      </c>
      <c r="H79" s="1597" t="s">
        <v>96</v>
      </c>
      <c r="I79" s="145" t="s">
        <v>8</v>
      </c>
    </row>
    <row r="80" spans="1:9">
      <c r="A80" s="145" t="s">
        <v>8</v>
      </c>
      <c r="B80" s="1603">
        <v>5</v>
      </c>
      <c r="C80" s="1605" t="s">
        <v>27</v>
      </c>
      <c r="D80" s="1605" t="s">
        <v>491</v>
      </c>
      <c r="E80" s="1609">
        <v>360000</v>
      </c>
      <c r="F80" s="1605" t="s">
        <v>492</v>
      </c>
      <c r="G80" s="1611">
        <v>0</v>
      </c>
      <c r="H80" s="1597" t="s">
        <v>96</v>
      </c>
      <c r="I80" s="145" t="s">
        <v>8</v>
      </c>
    </row>
    <row r="81" spans="1:9">
      <c r="A81" s="145" t="s">
        <v>8</v>
      </c>
      <c r="B81" s="1603">
        <v>6</v>
      </c>
      <c r="C81" s="1605" t="s">
        <v>27</v>
      </c>
      <c r="D81" s="1605" t="s">
        <v>493</v>
      </c>
      <c r="E81" s="1609">
        <v>390000</v>
      </c>
      <c r="F81" s="1605" t="s">
        <v>494</v>
      </c>
      <c r="G81" s="1611">
        <v>0</v>
      </c>
      <c r="H81" s="1597" t="s">
        <v>96</v>
      </c>
      <c r="I81" s="145" t="s">
        <v>8</v>
      </c>
    </row>
    <row r="82" spans="1:9">
      <c r="A82" s="145" t="s">
        <v>8</v>
      </c>
      <c r="B82" s="1603">
        <v>7</v>
      </c>
      <c r="C82" s="1605" t="s">
        <v>27</v>
      </c>
      <c r="D82" s="1605" t="s">
        <v>495</v>
      </c>
      <c r="E82" s="1609">
        <v>540000</v>
      </c>
      <c r="F82" s="1605" t="s">
        <v>496</v>
      </c>
      <c r="G82" s="1611">
        <v>0</v>
      </c>
      <c r="H82" s="1597" t="s">
        <v>96</v>
      </c>
      <c r="I82" s="145" t="s">
        <v>8</v>
      </c>
    </row>
    <row r="83" spans="1:9">
      <c r="A83" s="145" t="s">
        <v>8</v>
      </c>
      <c r="B83" s="1603">
        <v>8</v>
      </c>
      <c r="C83" s="1605" t="s">
        <v>27</v>
      </c>
      <c r="D83" s="1605" t="s">
        <v>497</v>
      </c>
      <c r="E83" s="1609">
        <v>540000</v>
      </c>
      <c r="F83" s="1605" t="s">
        <v>498</v>
      </c>
      <c r="G83" s="1611">
        <v>0</v>
      </c>
      <c r="H83" s="1597" t="s">
        <v>96</v>
      </c>
      <c r="I83" s="145" t="s">
        <v>8</v>
      </c>
    </row>
    <row r="84" spans="1:9">
      <c r="A84" s="145" t="s">
        <v>8</v>
      </c>
      <c r="B84" s="1603">
        <v>9</v>
      </c>
      <c r="C84" s="1605" t="s">
        <v>27</v>
      </c>
      <c r="D84" s="1605" t="s">
        <v>499</v>
      </c>
      <c r="E84" s="1609">
        <v>750000</v>
      </c>
      <c r="F84" s="1605" t="s">
        <v>500</v>
      </c>
      <c r="G84" s="1611">
        <v>0</v>
      </c>
      <c r="H84" s="1597" t="s">
        <v>96</v>
      </c>
      <c r="I84" s="145" t="s">
        <v>8</v>
      </c>
    </row>
    <row r="85" spans="1:9">
      <c r="A85" s="145" t="s">
        <v>8</v>
      </c>
      <c r="B85" s="1603">
        <v>10</v>
      </c>
      <c r="C85" s="1605" t="s">
        <v>27</v>
      </c>
      <c r="D85" s="1605" t="s">
        <v>501</v>
      </c>
      <c r="E85" s="1609">
        <v>780000</v>
      </c>
      <c r="F85" s="1605" t="s">
        <v>502</v>
      </c>
      <c r="G85" s="1611">
        <v>0</v>
      </c>
      <c r="H85" s="1597" t="s">
        <v>96</v>
      </c>
      <c r="I85" s="145" t="s">
        <v>8</v>
      </c>
    </row>
    <row r="86" spans="1:9">
      <c r="A86" s="145" t="s">
        <v>8</v>
      </c>
      <c r="B86" s="1603">
        <v>11</v>
      </c>
      <c r="C86" s="1605" t="s">
        <v>27</v>
      </c>
      <c r="D86" s="1605" t="s">
        <v>503</v>
      </c>
      <c r="E86" s="1609">
        <v>1920000</v>
      </c>
      <c r="F86" s="1605" t="s">
        <v>504</v>
      </c>
      <c r="G86" s="1611">
        <v>0</v>
      </c>
      <c r="H86" s="1597" t="s">
        <v>96</v>
      </c>
      <c r="I86" s="145" t="s">
        <v>8</v>
      </c>
    </row>
    <row r="87" spans="1:9">
      <c r="A87" s="145" t="s">
        <v>8</v>
      </c>
      <c r="B87" s="1603" t="s">
        <v>8</v>
      </c>
      <c r="C87" s="1605" t="s">
        <v>8</v>
      </c>
      <c r="D87" s="1605" t="s">
        <v>8</v>
      </c>
      <c r="E87" s="1609" t="s">
        <v>8</v>
      </c>
      <c r="F87" s="1605" t="s">
        <v>8</v>
      </c>
      <c r="G87" s="1611" t="s">
        <v>8</v>
      </c>
      <c r="H87" s="1597" t="s">
        <v>8</v>
      </c>
      <c r="I87" s="145" t="s">
        <v>8</v>
      </c>
    </row>
    <row r="88" spans="1:9" ht="15.75" thickBot="1">
      <c r="A88" s="145" t="s">
        <v>8</v>
      </c>
      <c r="B88" s="1604" t="s">
        <v>8</v>
      </c>
      <c r="C88" s="1606" t="s">
        <v>8</v>
      </c>
      <c r="D88" s="1608" t="s">
        <v>51</v>
      </c>
      <c r="E88" s="1610">
        <f>SUM($E$76:$E$87)</f>
        <v>517020000</v>
      </c>
      <c r="F88" s="1606" t="s">
        <v>8</v>
      </c>
      <c r="G88" s="1612" t="s">
        <v>8</v>
      </c>
      <c r="H88" s="1592" t="s">
        <v>8</v>
      </c>
      <c r="I88" s="145" t="s">
        <v>8</v>
      </c>
    </row>
    <row r="89" spans="1:9" ht="16.5" thickTop="1" thickBot="1">
      <c r="A89" s="145" t="s">
        <v>8</v>
      </c>
      <c r="B89" s="1594" t="s">
        <v>8</v>
      </c>
      <c r="C89" s="145" t="s">
        <v>8</v>
      </c>
      <c r="D89" s="145" t="s">
        <v>8</v>
      </c>
      <c r="E89" s="146" t="s">
        <v>8</v>
      </c>
      <c r="F89" s="145" t="s">
        <v>8</v>
      </c>
      <c r="G89" s="1593" t="s">
        <v>8</v>
      </c>
      <c r="H89" s="145" t="s">
        <v>8</v>
      </c>
      <c r="I89" s="145" t="s">
        <v>8</v>
      </c>
    </row>
    <row r="90" spans="1:9" ht="15.75" thickTop="1">
      <c r="A90" s="145" t="s">
        <v>8</v>
      </c>
      <c r="B90" s="1613" t="s">
        <v>8</v>
      </c>
      <c r="C90" s="1588" t="s">
        <v>8</v>
      </c>
      <c r="D90" s="1588" t="s">
        <v>8</v>
      </c>
      <c r="E90" s="1614" t="s">
        <v>8</v>
      </c>
      <c r="F90" s="1588" t="s">
        <v>8</v>
      </c>
      <c r="G90" s="1615" t="s">
        <v>8</v>
      </c>
      <c r="H90" s="1589" t="s">
        <v>8</v>
      </c>
      <c r="I90" s="145" t="s">
        <v>8</v>
      </c>
    </row>
    <row r="91" spans="1:9">
      <c r="A91" s="145" t="s">
        <v>8</v>
      </c>
      <c r="B91" s="1596" t="s">
        <v>8</v>
      </c>
      <c r="C91" s="2147" t="s">
        <v>8</v>
      </c>
      <c r="D91" s="2149" t="s">
        <v>114</v>
      </c>
      <c r="E91" s="2148">
        <f>ABS(E13+$E$20-$E$88+$E$30-$E$72)</f>
        <v>1112001393</v>
      </c>
      <c r="F91" s="2147" t="s">
        <v>8</v>
      </c>
      <c r="G91" s="2151" t="s">
        <v>8</v>
      </c>
      <c r="H91" s="1597" t="s">
        <v>8</v>
      </c>
      <c r="I91" s="145" t="s">
        <v>8</v>
      </c>
    </row>
    <row r="92" spans="1:9">
      <c r="A92" s="145" t="s">
        <v>8</v>
      </c>
      <c r="B92" s="1596" t="s">
        <v>8</v>
      </c>
      <c r="C92" s="2147" t="s">
        <v>8</v>
      </c>
      <c r="D92" s="2149" t="s">
        <v>115</v>
      </c>
      <c r="E92" s="2148">
        <v>1112001393</v>
      </c>
      <c r="F92" s="2147" t="s">
        <v>8</v>
      </c>
      <c r="G92" s="2151" t="s">
        <v>8</v>
      </c>
      <c r="H92" s="1597" t="s">
        <v>8</v>
      </c>
      <c r="I92" s="145" t="s">
        <v>116</v>
      </c>
    </row>
    <row r="93" spans="1:9" ht="15.75" thickBot="1">
      <c r="A93" s="145" t="s">
        <v>8</v>
      </c>
      <c r="B93" s="1598" t="s">
        <v>8</v>
      </c>
      <c r="C93" s="1591" t="s">
        <v>8</v>
      </c>
      <c r="D93" s="1599" t="s">
        <v>117</v>
      </c>
      <c r="E93" s="1600">
        <f>$E$92-$E$91</f>
        <v>0</v>
      </c>
      <c r="F93" s="1591" t="s">
        <v>8</v>
      </c>
      <c r="G93" s="1601" t="s">
        <v>8</v>
      </c>
      <c r="H93" s="1592" t="s">
        <v>8</v>
      </c>
      <c r="I93" s="145" t="s">
        <v>8</v>
      </c>
    </row>
    <row r="94" spans="1:9" ht="16.5" thickTop="1" thickBot="1">
      <c r="A94" s="145" t="s">
        <v>8</v>
      </c>
      <c r="B94" s="1594" t="s">
        <v>8</v>
      </c>
      <c r="C94" s="145" t="s">
        <v>8</v>
      </c>
      <c r="D94" s="145" t="s">
        <v>8</v>
      </c>
      <c r="E94" s="146" t="s">
        <v>8</v>
      </c>
      <c r="F94" s="145" t="s">
        <v>8</v>
      </c>
      <c r="G94" s="1593" t="s">
        <v>8</v>
      </c>
      <c r="H94" s="145" t="s">
        <v>8</v>
      </c>
      <c r="I94" s="145" t="s">
        <v>8</v>
      </c>
    </row>
    <row r="95" spans="1:9" ht="15.75" thickTop="1">
      <c r="A95" s="145" t="s">
        <v>8</v>
      </c>
      <c r="B95" s="1613" t="s">
        <v>8</v>
      </c>
      <c r="C95" s="1588" t="s">
        <v>8</v>
      </c>
      <c r="D95" s="1595" t="s">
        <v>118</v>
      </c>
      <c r="E95" s="1619" t="s">
        <v>119</v>
      </c>
      <c r="F95" s="1595" t="s">
        <v>120</v>
      </c>
      <c r="G95" s="1615">
        <v>45981</v>
      </c>
      <c r="H95" s="1589" t="s">
        <v>8</v>
      </c>
      <c r="I95" s="145" t="s">
        <v>8</v>
      </c>
    </row>
    <row r="96" spans="1:9">
      <c r="A96" s="145" t="s">
        <v>8</v>
      </c>
      <c r="B96" s="1596" t="s">
        <v>8</v>
      </c>
      <c r="C96" s="2147" t="s">
        <v>8</v>
      </c>
      <c r="D96" s="2147" t="s">
        <v>8</v>
      </c>
      <c r="E96" s="2150" t="s">
        <v>8</v>
      </c>
      <c r="F96" s="2147" t="s">
        <v>8</v>
      </c>
      <c r="G96" s="2151" t="s">
        <v>8</v>
      </c>
      <c r="H96" s="1597" t="s">
        <v>8</v>
      </c>
      <c r="I96" s="145" t="s">
        <v>8</v>
      </c>
    </row>
    <row r="97" spans="1:9">
      <c r="A97" s="145" t="s">
        <v>8</v>
      </c>
      <c r="B97" s="1596" t="s">
        <v>8</v>
      </c>
      <c r="C97" s="2147" t="s">
        <v>8</v>
      </c>
      <c r="D97" s="2147" t="s">
        <v>8</v>
      </c>
      <c r="E97" s="2150" t="s">
        <v>8</v>
      </c>
      <c r="F97" s="2147" t="s">
        <v>8</v>
      </c>
      <c r="G97" s="2151" t="s">
        <v>8</v>
      </c>
      <c r="H97" s="1597" t="s">
        <v>8</v>
      </c>
      <c r="I97" s="145" t="s">
        <v>8</v>
      </c>
    </row>
    <row r="98" spans="1:9">
      <c r="A98" s="145" t="s">
        <v>8</v>
      </c>
      <c r="B98" s="1596" t="s">
        <v>8</v>
      </c>
      <c r="C98" s="2147" t="s">
        <v>8</v>
      </c>
      <c r="D98" s="2149" t="s">
        <v>121</v>
      </c>
      <c r="E98" s="2148" t="s">
        <v>8</v>
      </c>
      <c r="F98" s="2149" t="s">
        <v>120</v>
      </c>
      <c r="G98" s="2151" t="s">
        <v>8</v>
      </c>
      <c r="H98" s="1597" t="s">
        <v>8</v>
      </c>
      <c r="I98" s="145" t="s">
        <v>8</v>
      </c>
    </row>
    <row r="99" spans="1:9">
      <c r="B99" s="180"/>
      <c r="C99" s="1919"/>
      <c r="D99" s="1919"/>
      <c r="E99" s="1919"/>
      <c r="F99" s="1919"/>
      <c r="G99" s="1919"/>
      <c r="H99" s="181"/>
    </row>
    <row r="100" spans="1:9" ht="15.75" thickBot="1">
      <c r="B100" s="182"/>
      <c r="C100" s="183"/>
      <c r="D100" s="183"/>
      <c r="E100" s="183"/>
      <c r="F100" s="183"/>
      <c r="G100" s="183"/>
      <c r="H100" s="184"/>
    </row>
    <row r="101" spans="1:9" ht="15.75" thickTop="1"/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showGridLines="0" topLeftCell="E1" workbookViewId="0">
      <selection activeCell="F8" sqref="F8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102" bestFit="1" customWidth="1"/>
    <col min="5" max="5" width="24.5703125" bestFit="1" customWidth="1"/>
    <col min="6" max="6" width="102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196</v>
      </c>
    </row>
    <row r="2" spans="1:9">
      <c r="A2" s="148" t="s">
        <v>8</v>
      </c>
      <c r="B2" s="148" t="s">
        <v>8</v>
      </c>
      <c r="C2" s="148" t="s">
        <v>8</v>
      </c>
      <c r="D2" s="148" t="s">
        <v>8</v>
      </c>
      <c r="E2" s="148" t="s">
        <v>8</v>
      </c>
      <c r="F2" s="148" t="s">
        <v>8</v>
      </c>
      <c r="G2" s="148" t="s">
        <v>8</v>
      </c>
      <c r="H2" s="148" t="s">
        <v>8</v>
      </c>
      <c r="I2" s="148" t="s">
        <v>8</v>
      </c>
    </row>
    <row r="3" spans="1:9" ht="15.75" thickBot="1">
      <c r="A3" s="148" t="s">
        <v>8</v>
      </c>
      <c r="B3" s="148" t="s">
        <v>8</v>
      </c>
      <c r="C3" s="148" t="s">
        <v>8</v>
      </c>
      <c r="D3" s="148" t="s">
        <v>8</v>
      </c>
      <c r="E3" s="148" t="s">
        <v>8</v>
      </c>
      <c r="F3" s="148" t="s">
        <v>8</v>
      </c>
      <c r="G3" s="148" t="s">
        <v>8</v>
      </c>
      <c r="H3" s="148" t="s">
        <v>8</v>
      </c>
      <c r="I3" s="148" t="s">
        <v>8</v>
      </c>
    </row>
    <row r="4" spans="1:9" ht="16.5" thickTop="1" thickBot="1">
      <c r="A4" s="148" t="s">
        <v>8</v>
      </c>
      <c r="B4" s="148" t="s">
        <v>14</v>
      </c>
      <c r="C4" s="148" t="s">
        <v>8</v>
      </c>
      <c r="D4" s="1621" t="s">
        <v>15</v>
      </c>
      <c r="E4" s="148" t="s">
        <v>16</v>
      </c>
      <c r="F4" s="1621" t="s">
        <v>505</v>
      </c>
      <c r="G4" s="148" t="s">
        <v>8</v>
      </c>
      <c r="H4" s="148" t="s">
        <v>8</v>
      </c>
      <c r="I4" s="148" t="s">
        <v>8</v>
      </c>
    </row>
    <row r="5" spans="1:9" ht="16.5" thickTop="1" thickBot="1">
      <c r="A5" s="148" t="s">
        <v>8</v>
      </c>
      <c r="B5" s="148" t="s">
        <v>8</v>
      </c>
      <c r="C5" s="148" t="s">
        <v>8</v>
      </c>
      <c r="D5" s="148" t="s">
        <v>8</v>
      </c>
      <c r="E5" s="148" t="s">
        <v>8</v>
      </c>
      <c r="F5" s="148" t="s">
        <v>8</v>
      </c>
      <c r="G5" s="148" t="s">
        <v>8</v>
      </c>
      <c r="H5" s="148" t="s">
        <v>8</v>
      </c>
      <c r="I5" s="148" t="s">
        <v>8</v>
      </c>
    </row>
    <row r="6" spans="1:9" ht="16.5" thickTop="1" thickBot="1">
      <c r="A6" s="148" t="s">
        <v>8</v>
      </c>
      <c r="B6" s="148" t="s">
        <v>18</v>
      </c>
      <c r="C6" s="148" t="s">
        <v>8</v>
      </c>
      <c r="D6" s="1621" t="s">
        <v>19</v>
      </c>
      <c r="E6" s="148" t="s">
        <v>20</v>
      </c>
      <c r="F6" s="1621" t="s">
        <v>506</v>
      </c>
      <c r="G6" s="148" t="s">
        <v>8</v>
      </c>
      <c r="H6" s="148" t="s">
        <v>8</v>
      </c>
      <c r="I6" s="148" t="s">
        <v>8</v>
      </c>
    </row>
    <row r="7" spans="1:9" ht="16.5" thickTop="1" thickBot="1">
      <c r="A7" s="148" t="s">
        <v>8</v>
      </c>
      <c r="B7" s="148" t="s">
        <v>8</v>
      </c>
      <c r="C7" s="148" t="s">
        <v>8</v>
      </c>
      <c r="D7" s="148" t="s">
        <v>8</v>
      </c>
      <c r="E7" s="148" t="s">
        <v>8</v>
      </c>
      <c r="F7" s="148" t="s">
        <v>8</v>
      </c>
      <c r="G7" s="148" t="s">
        <v>8</v>
      </c>
      <c r="H7" s="148" t="s">
        <v>8</v>
      </c>
      <c r="I7" s="148" t="s">
        <v>8</v>
      </c>
    </row>
    <row r="8" spans="1:9" ht="16.5" thickTop="1" thickBot="1">
      <c r="A8" s="148" t="s">
        <v>8</v>
      </c>
      <c r="B8" s="148" t="s">
        <v>22</v>
      </c>
      <c r="C8" s="148" t="s">
        <v>8</v>
      </c>
      <c r="D8" s="1621" t="s">
        <v>11</v>
      </c>
      <c r="E8" s="148" t="s">
        <v>23</v>
      </c>
      <c r="F8" s="1621" t="s">
        <v>507</v>
      </c>
      <c r="G8" s="148" t="s">
        <v>8</v>
      </c>
      <c r="H8" s="148" t="s">
        <v>8</v>
      </c>
      <c r="I8" s="148" t="s">
        <v>8</v>
      </c>
    </row>
    <row r="9" spans="1:9" ht="16.5" thickTop="1" thickBot="1">
      <c r="A9" s="148" t="s">
        <v>8</v>
      </c>
      <c r="B9" s="148" t="s">
        <v>8</v>
      </c>
      <c r="C9" s="148" t="s">
        <v>8</v>
      </c>
      <c r="D9" s="148" t="s">
        <v>8</v>
      </c>
      <c r="E9" s="148" t="s">
        <v>8</v>
      </c>
      <c r="F9" s="148" t="s">
        <v>8</v>
      </c>
      <c r="G9" s="148" t="s">
        <v>8</v>
      </c>
      <c r="H9" s="148" t="s">
        <v>8</v>
      </c>
      <c r="I9" s="148" t="s">
        <v>8</v>
      </c>
    </row>
    <row r="10" spans="1:9" ht="16.5" thickTop="1" thickBot="1">
      <c r="A10" s="148" t="s">
        <v>8</v>
      </c>
      <c r="B10" s="148" t="s">
        <v>25</v>
      </c>
      <c r="C10" s="148" t="s">
        <v>8</v>
      </c>
      <c r="D10" s="1621" t="s">
        <v>26</v>
      </c>
      <c r="E10" s="148" t="s">
        <v>8</v>
      </c>
      <c r="F10" s="148" t="s">
        <v>8</v>
      </c>
      <c r="G10" s="148" t="s">
        <v>8</v>
      </c>
      <c r="H10" s="148" t="s">
        <v>8</v>
      </c>
      <c r="I10" s="148" t="s">
        <v>8</v>
      </c>
    </row>
    <row r="11" spans="1:9" ht="16.5" thickTop="1" thickBot="1">
      <c r="A11" s="148" t="s">
        <v>8</v>
      </c>
      <c r="B11" s="148" t="s">
        <v>8</v>
      </c>
      <c r="C11" s="148" t="s">
        <v>8</v>
      </c>
      <c r="D11" s="148" t="s">
        <v>8</v>
      </c>
      <c r="E11" s="148" t="s">
        <v>8</v>
      </c>
      <c r="F11" s="148" t="s">
        <v>8</v>
      </c>
      <c r="G11" s="148" t="s">
        <v>8</v>
      </c>
      <c r="H11" s="148" t="s">
        <v>8</v>
      </c>
      <c r="I11" s="148" t="s">
        <v>8</v>
      </c>
    </row>
    <row r="12" spans="1:9" ht="16.5" thickTop="1" thickBot="1">
      <c r="A12" s="148" t="s">
        <v>8</v>
      </c>
      <c r="B12" s="1622" t="s">
        <v>8</v>
      </c>
      <c r="C12" s="1623" t="s">
        <v>8</v>
      </c>
      <c r="D12" s="1623" t="s">
        <v>8</v>
      </c>
      <c r="E12" s="1623" t="s">
        <v>8</v>
      </c>
      <c r="F12" s="1623" t="s">
        <v>8</v>
      </c>
      <c r="G12" s="1623" t="s">
        <v>8</v>
      </c>
      <c r="H12" s="1624" t="s">
        <v>8</v>
      </c>
      <c r="I12" s="148" t="s">
        <v>8</v>
      </c>
    </row>
    <row r="13" spans="1:9" ht="16.5" thickTop="1" thickBot="1">
      <c r="A13" s="148" t="s">
        <v>8</v>
      </c>
      <c r="B13" s="1625" t="s">
        <v>8</v>
      </c>
      <c r="C13" s="1620" t="s">
        <v>11</v>
      </c>
      <c r="D13" s="1626" t="s">
        <v>28</v>
      </c>
      <c r="E13" s="1635">
        <v>802683.48</v>
      </c>
      <c r="F13" s="1626" t="s">
        <v>8</v>
      </c>
      <c r="G13" s="1626" t="s">
        <v>8</v>
      </c>
      <c r="H13" s="1627" t="s">
        <v>8</v>
      </c>
      <c r="I13" s="148" t="s">
        <v>29</v>
      </c>
    </row>
    <row r="14" spans="1:9" ht="16.5" thickTop="1" thickBot="1">
      <c r="A14" s="148" t="s">
        <v>8</v>
      </c>
      <c r="B14" s="148" t="s">
        <v>8</v>
      </c>
      <c r="C14" s="148" t="s">
        <v>8</v>
      </c>
      <c r="D14" s="148" t="s">
        <v>8</v>
      </c>
      <c r="E14" s="148" t="s">
        <v>8</v>
      </c>
      <c r="F14" s="148" t="s">
        <v>8</v>
      </c>
      <c r="G14" s="148" t="s">
        <v>8</v>
      </c>
      <c r="H14" s="148" t="s">
        <v>8</v>
      </c>
      <c r="I14" s="148" t="s">
        <v>8</v>
      </c>
    </row>
    <row r="15" spans="1:9" ht="16.5" thickTop="1" thickBot="1">
      <c r="A15" s="148" t="s">
        <v>8</v>
      </c>
      <c r="B15" s="1621" t="s">
        <v>30</v>
      </c>
      <c r="C15" s="1620" t="s">
        <v>31</v>
      </c>
      <c r="D15" s="1620" t="s">
        <v>32</v>
      </c>
      <c r="E15" s="1620" t="s">
        <v>33</v>
      </c>
      <c r="F15" s="1620" t="s">
        <v>34</v>
      </c>
      <c r="G15" s="1620" t="s">
        <v>35</v>
      </c>
      <c r="H15" s="1620" t="s">
        <v>36</v>
      </c>
      <c r="I15" s="148" t="s">
        <v>8</v>
      </c>
    </row>
    <row r="16" spans="1:9" ht="16.5" thickTop="1" thickBot="1">
      <c r="A16" s="148" t="s">
        <v>8</v>
      </c>
      <c r="B16" s="148" t="s">
        <v>8</v>
      </c>
      <c r="C16" s="148" t="s">
        <v>8</v>
      </c>
      <c r="D16" s="148" t="s">
        <v>8</v>
      </c>
      <c r="E16" s="148" t="s">
        <v>8</v>
      </c>
      <c r="F16" s="148" t="s">
        <v>8</v>
      </c>
      <c r="G16" s="148" t="s">
        <v>8</v>
      </c>
      <c r="H16" s="148" t="s">
        <v>8</v>
      </c>
      <c r="I16" s="148" t="s">
        <v>8</v>
      </c>
    </row>
    <row r="17" spans="1:9" ht="15.75" thickTop="1">
      <c r="A17" s="148" t="s">
        <v>8</v>
      </c>
      <c r="B17" s="1637" t="s">
        <v>8</v>
      </c>
      <c r="C17" s="1637" t="s">
        <v>8</v>
      </c>
      <c r="D17" s="1642" t="s">
        <v>508</v>
      </c>
      <c r="E17" s="1637" t="s">
        <v>8</v>
      </c>
      <c r="F17" s="1637" t="s">
        <v>8</v>
      </c>
      <c r="G17" s="1637" t="s">
        <v>8</v>
      </c>
      <c r="H17" s="1624" t="s">
        <v>8</v>
      </c>
      <c r="I17" s="148" t="s">
        <v>8</v>
      </c>
    </row>
    <row r="18" spans="1:9">
      <c r="A18" s="148" t="s">
        <v>8</v>
      </c>
      <c r="B18" s="1638" t="s">
        <v>8</v>
      </c>
      <c r="C18" s="1640" t="s">
        <v>8</v>
      </c>
      <c r="D18" s="1640" t="s">
        <v>8</v>
      </c>
      <c r="E18" s="1644" t="s">
        <v>8</v>
      </c>
      <c r="F18" s="1640" t="s">
        <v>8</v>
      </c>
      <c r="G18" s="1646" t="s">
        <v>8</v>
      </c>
      <c r="H18" s="1632" t="s">
        <v>8</v>
      </c>
      <c r="I18" s="148" t="s">
        <v>8</v>
      </c>
    </row>
    <row r="19" spans="1:9">
      <c r="A19" s="148" t="s">
        <v>8</v>
      </c>
      <c r="B19" s="1638" t="s">
        <v>8</v>
      </c>
      <c r="C19" s="1640" t="s">
        <v>8</v>
      </c>
      <c r="D19" s="1640" t="s">
        <v>8</v>
      </c>
      <c r="E19" s="1644" t="s">
        <v>8</v>
      </c>
      <c r="F19" s="1640" t="s">
        <v>8</v>
      </c>
      <c r="G19" s="1646" t="s">
        <v>8</v>
      </c>
      <c r="H19" s="1632" t="s">
        <v>8</v>
      </c>
      <c r="I19" s="148" t="s">
        <v>8</v>
      </c>
    </row>
    <row r="20" spans="1:9" ht="15.75" thickBot="1">
      <c r="A20" s="148" t="s">
        <v>8</v>
      </c>
      <c r="B20" s="1639" t="s">
        <v>8</v>
      </c>
      <c r="C20" s="1641" t="s">
        <v>8</v>
      </c>
      <c r="D20" s="1643" t="s">
        <v>51</v>
      </c>
      <c r="E20" s="1645">
        <f>SUM($E$18:$E$19)</f>
        <v>0</v>
      </c>
      <c r="F20" s="1641" t="s">
        <v>8</v>
      </c>
      <c r="G20" s="1647" t="s">
        <v>8</v>
      </c>
      <c r="H20" s="1627" t="s">
        <v>8</v>
      </c>
      <c r="I20" s="148" t="s">
        <v>8</v>
      </c>
    </row>
    <row r="21" spans="1:9" ht="15.75" thickTop="1">
      <c r="A21" s="148" t="s">
        <v>8</v>
      </c>
      <c r="B21" s="1629" t="s">
        <v>8</v>
      </c>
      <c r="C21" s="148" t="s">
        <v>8</v>
      </c>
      <c r="D21" s="148" t="s">
        <v>8</v>
      </c>
      <c r="E21" s="149" t="s">
        <v>8</v>
      </c>
      <c r="F21" s="148" t="s">
        <v>8</v>
      </c>
      <c r="G21" s="1628" t="s">
        <v>8</v>
      </c>
      <c r="H21" s="148" t="s">
        <v>8</v>
      </c>
      <c r="I21" s="148" t="s">
        <v>8</v>
      </c>
    </row>
    <row r="22" spans="1:9" ht="15.75" thickBot="1">
      <c r="A22" s="148" t="s">
        <v>8</v>
      </c>
      <c r="B22" s="1629" t="s">
        <v>8</v>
      </c>
      <c r="C22" s="148" t="s">
        <v>8</v>
      </c>
      <c r="D22" s="148" t="s">
        <v>8</v>
      </c>
      <c r="E22" s="149" t="s">
        <v>8</v>
      </c>
      <c r="F22" s="148" t="s">
        <v>8</v>
      </c>
      <c r="G22" s="1628" t="s">
        <v>8</v>
      </c>
      <c r="H22" s="148" t="s">
        <v>8</v>
      </c>
      <c r="I22" s="148" t="s">
        <v>8</v>
      </c>
    </row>
    <row r="23" spans="1:9" ht="15.75" thickTop="1">
      <c r="A23" s="148" t="s">
        <v>8</v>
      </c>
      <c r="B23" s="1651" t="s">
        <v>8</v>
      </c>
      <c r="C23" s="1637" t="s">
        <v>8</v>
      </c>
      <c r="D23" s="1642" t="s">
        <v>509</v>
      </c>
      <c r="E23" s="1652" t="s">
        <v>8</v>
      </c>
      <c r="F23" s="1637" t="s">
        <v>8</v>
      </c>
      <c r="G23" s="1653" t="s">
        <v>8</v>
      </c>
      <c r="H23" s="1624" t="s">
        <v>8</v>
      </c>
      <c r="I23" s="148" t="s">
        <v>8</v>
      </c>
    </row>
    <row r="24" spans="1:9">
      <c r="A24" s="148" t="s">
        <v>8</v>
      </c>
      <c r="B24" s="1638">
        <v>1</v>
      </c>
      <c r="C24" s="1640" t="s">
        <v>125</v>
      </c>
      <c r="D24" s="1640" t="s">
        <v>510</v>
      </c>
      <c r="E24" s="1644">
        <v>35</v>
      </c>
      <c r="F24" s="1640" t="s">
        <v>511</v>
      </c>
      <c r="G24" s="1646">
        <v>8</v>
      </c>
      <c r="H24" s="1632" t="s">
        <v>55</v>
      </c>
      <c r="I24" s="148" t="s">
        <v>8</v>
      </c>
    </row>
    <row r="25" spans="1:9">
      <c r="A25" s="148" t="s">
        <v>8</v>
      </c>
      <c r="B25" s="1638">
        <v>2</v>
      </c>
      <c r="C25" s="1640" t="s">
        <v>125</v>
      </c>
      <c r="D25" s="1640" t="s">
        <v>512</v>
      </c>
      <c r="E25" s="1644">
        <v>35</v>
      </c>
      <c r="F25" s="1640" t="s">
        <v>513</v>
      </c>
      <c r="G25" s="1646">
        <v>8</v>
      </c>
      <c r="H25" s="1632" t="s">
        <v>55</v>
      </c>
      <c r="I25" s="148" t="s">
        <v>8</v>
      </c>
    </row>
    <row r="26" spans="1:9">
      <c r="A26" s="148" t="s">
        <v>8</v>
      </c>
      <c r="B26" s="1638">
        <v>3</v>
      </c>
      <c r="C26" s="1640" t="s">
        <v>125</v>
      </c>
      <c r="D26" s="1640" t="s">
        <v>514</v>
      </c>
      <c r="E26" s="1644">
        <v>35</v>
      </c>
      <c r="F26" s="1640" t="s">
        <v>515</v>
      </c>
      <c r="G26" s="1646">
        <v>8</v>
      </c>
      <c r="H26" s="1632" t="s">
        <v>55</v>
      </c>
      <c r="I26" s="148" t="s">
        <v>8</v>
      </c>
    </row>
    <row r="27" spans="1:9">
      <c r="A27" s="148" t="s">
        <v>8</v>
      </c>
      <c r="B27" s="1638">
        <v>4</v>
      </c>
      <c r="C27" s="1640" t="s">
        <v>125</v>
      </c>
      <c r="D27" s="1640" t="s">
        <v>516</v>
      </c>
      <c r="E27" s="1644">
        <v>35</v>
      </c>
      <c r="F27" s="1640" t="s">
        <v>517</v>
      </c>
      <c r="G27" s="1646">
        <v>8</v>
      </c>
      <c r="H27" s="1632" t="s">
        <v>55</v>
      </c>
      <c r="I27" s="148" t="s">
        <v>8</v>
      </c>
    </row>
    <row r="28" spans="1:9">
      <c r="A28" s="148" t="s">
        <v>8</v>
      </c>
      <c r="B28" s="1638">
        <v>5</v>
      </c>
      <c r="C28" s="1640" t="s">
        <v>125</v>
      </c>
      <c r="D28" s="1640" t="s">
        <v>518</v>
      </c>
      <c r="E28" s="1644">
        <v>35</v>
      </c>
      <c r="F28" s="1640" t="s">
        <v>519</v>
      </c>
      <c r="G28" s="1646">
        <v>8</v>
      </c>
      <c r="H28" s="1632" t="s">
        <v>55</v>
      </c>
      <c r="I28" s="148" t="s">
        <v>8</v>
      </c>
    </row>
    <row r="29" spans="1:9">
      <c r="A29" s="148" t="s">
        <v>8</v>
      </c>
      <c r="B29" s="1638">
        <v>6</v>
      </c>
      <c r="C29" s="1640" t="s">
        <v>125</v>
      </c>
      <c r="D29" s="1640" t="s">
        <v>520</v>
      </c>
      <c r="E29" s="1644">
        <v>35</v>
      </c>
      <c r="F29" s="1640" t="s">
        <v>521</v>
      </c>
      <c r="G29" s="1646">
        <v>8</v>
      </c>
      <c r="H29" s="1632" t="s">
        <v>55</v>
      </c>
      <c r="I29" s="148" t="s">
        <v>8</v>
      </c>
    </row>
    <row r="30" spans="1:9">
      <c r="A30" s="148" t="s">
        <v>8</v>
      </c>
      <c r="B30" s="1638">
        <v>7</v>
      </c>
      <c r="C30" s="1640" t="s">
        <v>125</v>
      </c>
      <c r="D30" s="1640" t="s">
        <v>522</v>
      </c>
      <c r="E30" s="1644">
        <v>35</v>
      </c>
      <c r="F30" s="1640" t="s">
        <v>523</v>
      </c>
      <c r="G30" s="1646">
        <v>8</v>
      </c>
      <c r="H30" s="1632" t="s">
        <v>55</v>
      </c>
      <c r="I30" s="148" t="s">
        <v>8</v>
      </c>
    </row>
    <row r="31" spans="1:9">
      <c r="A31" s="148" t="s">
        <v>8</v>
      </c>
      <c r="B31" s="1638">
        <v>8</v>
      </c>
      <c r="C31" s="1640" t="s">
        <v>125</v>
      </c>
      <c r="D31" s="1640" t="s">
        <v>524</v>
      </c>
      <c r="E31" s="1644">
        <v>35</v>
      </c>
      <c r="F31" s="1640" t="s">
        <v>525</v>
      </c>
      <c r="G31" s="1646">
        <v>8</v>
      </c>
      <c r="H31" s="1632" t="s">
        <v>55</v>
      </c>
      <c r="I31" s="148" t="s">
        <v>8</v>
      </c>
    </row>
    <row r="32" spans="1:9">
      <c r="A32" s="148" t="s">
        <v>8</v>
      </c>
      <c r="B32" s="1638">
        <v>9</v>
      </c>
      <c r="C32" s="1640" t="s">
        <v>141</v>
      </c>
      <c r="D32" s="1640" t="s">
        <v>526</v>
      </c>
      <c r="E32" s="1644">
        <v>35</v>
      </c>
      <c r="F32" s="1640" t="s">
        <v>527</v>
      </c>
      <c r="G32" s="1646">
        <v>7</v>
      </c>
      <c r="H32" s="1632" t="s">
        <v>55</v>
      </c>
      <c r="I32" s="148" t="s">
        <v>8</v>
      </c>
    </row>
    <row r="33" spans="1:9">
      <c r="A33" s="148" t="s">
        <v>8</v>
      </c>
      <c r="B33" s="1638">
        <v>10</v>
      </c>
      <c r="C33" s="1640" t="s">
        <v>141</v>
      </c>
      <c r="D33" s="1640" t="s">
        <v>528</v>
      </c>
      <c r="E33" s="1644">
        <v>35</v>
      </c>
      <c r="F33" s="1640" t="s">
        <v>527</v>
      </c>
      <c r="G33" s="1646">
        <v>7</v>
      </c>
      <c r="H33" s="1632" t="s">
        <v>55</v>
      </c>
      <c r="I33" s="148" t="s">
        <v>8</v>
      </c>
    </row>
    <row r="34" spans="1:9">
      <c r="A34" s="148" t="s">
        <v>8</v>
      </c>
      <c r="B34" s="1638">
        <v>11</v>
      </c>
      <c r="C34" s="1640" t="s">
        <v>141</v>
      </c>
      <c r="D34" s="1640" t="s">
        <v>529</v>
      </c>
      <c r="E34" s="1644">
        <v>35</v>
      </c>
      <c r="F34" s="1640" t="s">
        <v>527</v>
      </c>
      <c r="G34" s="1646">
        <v>7</v>
      </c>
      <c r="H34" s="1632" t="s">
        <v>55</v>
      </c>
      <c r="I34" s="148" t="s">
        <v>8</v>
      </c>
    </row>
    <row r="35" spans="1:9">
      <c r="A35" s="148" t="s">
        <v>8</v>
      </c>
      <c r="B35" s="1638">
        <v>12</v>
      </c>
      <c r="C35" s="1640" t="s">
        <v>38</v>
      </c>
      <c r="D35" s="1640" t="s">
        <v>530</v>
      </c>
      <c r="E35" s="1644">
        <v>35</v>
      </c>
      <c r="F35" s="1640" t="s">
        <v>527</v>
      </c>
      <c r="G35" s="1646">
        <v>3</v>
      </c>
      <c r="H35" s="1632" t="s">
        <v>55</v>
      </c>
      <c r="I35" s="148" t="s">
        <v>8</v>
      </c>
    </row>
    <row r="36" spans="1:9">
      <c r="A36" s="148" t="s">
        <v>8</v>
      </c>
      <c r="B36" s="1638">
        <v>13</v>
      </c>
      <c r="C36" s="1640" t="s">
        <v>48</v>
      </c>
      <c r="D36" s="1640" t="s">
        <v>531</v>
      </c>
      <c r="E36" s="1644">
        <v>35</v>
      </c>
      <c r="F36" s="1640" t="s">
        <v>527</v>
      </c>
      <c r="G36" s="1646">
        <v>1</v>
      </c>
      <c r="H36" s="1632" t="s">
        <v>55</v>
      </c>
      <c r="I36" s="148" t="s">
        <v>8</v>
      </c>
    </row>
    <row r="37" spans="1:9">
      <c r="A37" s="148" t="s">
        <v>8</v>
      </c>
      <c r="B37" s="1638">
        <v>14</v>
      </c>
      <c r="C37" s="1640" t="s">
        <v>27</v>
      </c>
      <c r="D37" s="1640" t="s">
        <v>532</v>
      </c>
      <c r="E37" s="1644">
        <v>35</v>
      </c>
      <c r="F37" s="1640" t="s">
        <v>533</v>
      </c>
      <c r="G37" s="1646">
        <v>0</v>
      </c>
      <c r="H37" s="1632" t="s">
        <v>55</v>
      </c>
      <c r="I37" s="148" t="s">
        <v>8</v>
      </c>
    </row>
    <row r="38" spans="1:9">
      <c r="A38" s="148" t="s">
        <v>8</v>
      </c>
      <c r="B38" s="1638" t="s">
        <v>8</v>
      </c>
      <c r="C38" s="1640" t="s">
        <v>8</v>
      </c>
      <c r="D38" s="1640" t="s">
        <v>8</v>
      </c>
      <c r="E38" s="1644" t="s">
        <v>8</v>
      </c>
      <c r="F38" s="1640" t="s">
        <v>8</v>
      </c>
      <c r="G38" s="1646" t="s">
        <v>8</v>
      </c>
      <c r="H38" s="1632" t="s">
        <v>8</v>
      </c>
      <c r="I38" s="148" t="s">
        <v>8</v>
      </c>
    </row>
    <row r="39" spans="1:9" ht="15.75" thickBot="1">
      <c r="A39" s="148" t="s">
        <v>8</v>
      </c>
      <c r="B39" s="1639" t="s">
        <v>8</v>
      </c>
      <c r="C39" s="1641" t="s">
        <v>8</v>
      </c>
      <c r="D39" s="1643" t="s">
        <v>51</v>
      </c>
      <c r="E39" s="1645">
        <f>SUM($E$24:$E$38)</f>
        <v>490</v>
      </c>
      <c r="F39" s="1641" t="s">
        <v>8</v>
      </c>
      <c r="G39" s="1647" t="s">
        <v>8</v>
      </c>
      <c r="H39" s="1627" t="s">
        <v>8</v>
      </c>
      <c r="I39" s="148" t="s">
        <v>8</v>
      </c>
    </row>
    <row r="40" spans="1:9" ht="15.75" thickTop="1">
      <c r="A40" s="148" t="s">
        <v>8</v>
      </c>
      <c r="B40" s="1629" t="s">
        <v>8</v>
      </c>
      <c r="C40" s="148" t="s">
        <v>8</v>
      </c>
      <c r="D40" s="148" t="s">
        <v>8</v>
      </c>
      <c r="E40" s="149" t="s">
        <v>8</v>
      </c>
      <c r="F40" s="148" t="s">
        <v>8</v>
      </c>
      <c r="G40" s="1628" t="s">
        <v>8</v>
      </c>
      <c r="H40" s="148" t="s">
        <v>8</v>
      </c>
      <c r="I40" s="148" t="s">
        <v>8</v>
      </c>
    </row>
    <row r="41" spans="1:9" ht="15.75" thickBot="1">
      <c r="A41" s="148" t="s">
        <v>8</v>
      </c>
      <c r="B41" s="1629" t="s">
        <v>8</v>
      </c>
      <c r="C41" s="148" t="s">
        <v>8</v>
      </c>
      <c r="D41" s="148" t="s">
        <v>8</v>
      </c>
      <c r="E41" s="149" t="s">
        <v>8</v>
      </c>
      <c r="F41" s="148" t="s">
        <v>8</v>
      </c>
      <c r="G41" s="1628" t="s">
        <v>8</v>
      </c>
      <c r="H41" s="148" t="s">
        <v>8</v>
      </c>
      <c r="I41" s="148" t="s">
        <v>8</v>
      </c>
    </row>
    <row r="42" spans="1:9" ht="15.75" thickTop="1">
      <c r="A42" s="148" t="s">
        <v>8</v>
      </c>
      <c r="B42" s="1651" t="s">
        <v>8</v>
      </c>
      <c r="C42" s="1637" t="s">
        <v>8</v>
      </c>
      <c r="D42" s="1642" t="s">
        <v>534</v>
      </c>
      <c r="E42" s="1652" t="s">
        <v>8</v>
      </c>
      <c r="F42" s="1637" t="s">
        <v>8</v>
      </c>
      <c r="G42" s="1653" t="s">
        <v>8</v>
      </c>
      <c r="H42" s="1624" t="s">
        <v>8</v>
      </c>
      <c r="I42" s="148" t="s">
        <v>8</v>
      </c>
    </row>
    <row r="43" spans="1:9">
      <c r="A43" s="148" t="s">
        <v>8</v>
      </c>
      <c r="B43" s="1638" t="s">
        <v>8</v>
      </c>
      <c r="C43" s="1640" t="s">
        <v>8</v>
      </c>
      <c r="D43" s="1640" t="s">
        <v>8</v>
      </c>
      <c r="E43" s="1644" t="s">
        <v>8</v>
      </c>
      <c r="F43" s="1640" t="s">
        <v>8</v>
      </c>
      <c r="G43" s="1646" t="s">
        <v>8</v>
      </c>
      <c r="H43" s="1632" t="s">
        <v>8</v>
      </c>
      <c r="I43" s="148" t="s">
        <v>8</v>
      </c>
    </row>
    <row r="44" spans="1:9">
      <c r="A44" s="148" t="s">
        <v>8</v>
      </c>
      <c r="B44" s="1638" t="s">
        <v>8</v>
      </c>
      <c r="C44" s="1640" t="s">
        <v>8</v>
      </c>
      <c r="D44" s="1640" t="s">
        <v>8</v>
      </c>
      <c r="E44" s="1644" t="s">
        <v>8</v>
      </c>
      <c r="F44" s="1640" t="s">
        <v>8</v>
      </c>
      <c r="G44" s="1646" t="s">
        <v>8</v>
      </c>
      <c r="H44" s="1632" t="s">
        <v>8</v>
      </c>
      <c r="I44" s="148" t="s">
        <v>8</v>
      </c>
    </row>
    <row r="45" spans="1:9" ht="15.75" thickBot="1">
      <c r="A45" s="148" t="s">
        <v>8</v>
      </c>
      <c r="B45" s="1639" t="s">
        <v>8</v>
      </c>
      <c r="C45" s="1641" t="s">
        <v>8</v>
      </c>
      <c r="D45" s="1643" t="s">
        <v>51</v>
      </c>
      <c r="E45" s="1645">
        <f>SUM($E$43:$E$44)</f>
        <v>0</v>
      </c>
      <c r="F45" s="1641" t="s">
        <v>8</v>
      </c>
      <c r="G45" s="1647" t="s">
        <v>8</v>
      </c>
      <c r="H45" s="1627" t="s">
        <v>8</v>
      </c>
      <c r="I45" s="148" t="s">
        <v>8</v>
      </c>
    </row>
    <row r="46" spans="1:9" ht="15.75" thickTop="1">
      <c r="A46" s="148" t="s">
        <v>8</v>
      </c>
      <c r="B46" s="1629" t="s">
        <v>8</v>
      </c>
      <c r="C46" s="148" t="s">
        <v>8</v>
      </c>
      <c r="D46" s="148" t="s">
        <v>8</v>
      </c>
      <c r="E46" s="149" t="s">
        <v>8</v>
      </c>
      <c r="F46" s="148" t="s">
        <v>8</v>
      </c>
      <c r="G46" s="1628" t="s">
        <v>8</v>
      </c>
      <c r="H46" s="148" t="s">
        <v>8</v>
      </c>
      <c r="I46" s="148" t="s">
        <v>8</v>
      </c>
    </row>
    <row r="47" spans="1:9" ht="15.75" thickBot="1">
      <c r="A47" s="148" t="s">
        <v>8</v>
      </c>
      <c r="B47" s="1629" t="s">
        <v>8</v>
      </c>
      <c r="C47" s="148" t="s">
        <v>8</v>
      </c>
      <c r="D47" s="148" t="s">
        <v>8</v>
      </c>
      <c r="E47" s="149" t="s">
        <v>8</v>
      </c>
      <c r="F47" s="148" t="s">
        <v>8</v>
      </c>
      <c r="G47" s="1628" t="s">
        <v>8</v>
      </c>
      <c r="H47" s="148" t="s">
        <v>8</v>
      </c>
      <c r="I47" s="148" t="s">
        <v>8</v>
      </c>
    </row>
    <row r="48" spans="1:9" ht="15.75" thickTop="1">
      <c r="A48" s="148" t="s">
        <v>8</v>
      </c>
      <c r="B48" s="1651" t="s">
        <v>8</v>
      </c>
      <c r="C48" s="1637" t="s">
        <v>8</v>
      </c>
      <c r="D48" s="1642" t="s">
        <v>535</v>
      </c>
      <c r="E48" s="1652" t="s">
        <v>8</v>
      </c>
      <c r="F48" s="1637" t="s">
        <v>8</v>
      </c>
      <c r="G48" s="1653" t="s">
        <v>8</v>
      </c>
      <c r="H48" s="1624" t="s">
        <v>8</v>
      </c>
      <c r="I48" s="148" t="s">
        <v>8</v>
      </c>
    </row>
    <row r="49" spans="1:9">
      <c r="A49" s="148" t="s">
        <v>8</v>
      </c>
      <c r="B49" s="1638">
        <v>1</v>
      </c>
      <c r="C49" s="1640" t="s">
        <v>365</v>
      </c>
      <c r="D49" s="1640" t="s">
        <v>536</v>
      </c>
      <c r="E49" s="1644">
        <v>39060</v>
      </c>
      <c r="F49" s="1640" t="s">
        <v>296</v>
      </c>
      <c r="G49" s="1646">
        <v>9</v>
      </c>
      <c r="H49" s="1632" t="s">
        <v>96</v>
      </c>
      <c r="I49" s="148" t="s">
        <v>8</v>
      </c>
    </row>
    <row r="50" spans="1:9">
      <c r="A50" s="148" t="s">
        <v>8</v>
      </c>
      <c r="B50" s="1638">
        <v>2</v>
      </c>
      <c r="C50" s="1640" t="s">
        <v>38</v>
      </c>
      <c r="D50" s="1640" t="s">
        <v>537</v>
      </c>
      <c r="E50" s="1644">
        <v>504.25</v>
      </c>
      <c r="F50" s="1640" t="s">
        <v>537</v>
      </c>
      <c r="G50" s="1646">
        <v>3</v>
      </c>
      <c r="H50" s="1632" t="s">
        <v>96</v>
      </c>
      <c r="I50" s="148" t="s">
        <v>8</v>
      </c>
    </row>
    <row r="51" spans="1:9">
      <c r="A51" s="148" t="s">
        <v>8</v>
      </c>
      <c r="B51" s="1638">
        <v>3</v>
      </c>
      <c r="C51" s="1640" t="s">
        <v>56</v>
      </c>
      <c r="D51" s="1640" t="s">
        <v>242</v>
      </c>
      <c r="E51" s="1644">
        <v>4659</v>
      </c>
      <c r="F51" s="1640" t="s">
        <v>242</v>
      </c>
      <c r="G51" s="1646">
        <v>2</v>
      </c>
      <c r="H51" s="1632" t="s">
        <v>96</v>
      </c>
      <c r="I51" s="148" t="s">
        <v>8</v>
      </c>
    </row>
    <row r="52" spans="1:9">
      <c r="A52" s="148" t="s">
        <v>8</v>
      </c>
      <c r="B52" s="1638">
        <v>4</v>
      </c>
      <c r="C52" s="1640" t="s">
        <v>48</v>
      </c>
      <c r="D52" s="1640" t="s">
        <v>538</v>
      </c>
      <c r="E52" s="1644">
        <v>3350</v>
      </c>
      <c r="F52" s="1640" t="s">
        <v>539</v>
      </c>
      <c r="G52" s="1646">
        <v>1</v>
      </c>
      <c r="H52" s="1632" t="s">
        <v>96</v>
      </c>
      <c r="I52" s="148" t="s">
        <v>8</v>
      </c>
    </row>
    <row r="53" spans="1:9">
      <c r="A53" s="148" t="s">
        <v>8</v>
      </c>
      <c r="B53" s="1638">
        <v>5</v>
      </c>
      <c r="C53" s="1640" t="s">
        <v>48</v>
      </c>
      <c r="D53" s="1640" t="s">
        <v>540</v>
      </c>
      <c r="E53" s="1644">
        <v>48097</v>
      </c>
      <c r="F53" s="1640" t="s">
        <v>541</v>
      </c>
      <c r="G53" s="1646">
        <v>1</v>
      </c>
      <c r="H53" s="1632" t="s">
        <v>96</v>
      </c>
      <c r="I53" s="148" t="s">
        <v>8</v>
      </c>
    </row>
    <row r="54" spans="1:9">
      <c r="A54" s="148" t="s">
        <v>8</v>
      </c>
      <c r="B54" s="1638">
        <v>6</v>
      </c>
      <c r="C54" s="1640" t="s">
        <v>48</v>
      </c>
      <c r="D54" s="1640" t="s">
        <v>542</v>
      </c>
      <c r="E54" s="1644">
        <v>50772</v>
      </c>
      <c r="F54" s="1640" t="s">
        <v>543</v>
      </c>
      <c r="G54" s="1646">
        <v>1</v>
      </c>
      <c r="H54" s="1632" t="s">
        <v>96</v>
      </c>
      <c r="I54" s="148" t="s">
        <v>8</v>
      </c>
    </row>
    <row r="55" spans="1:9">
      <c r="A55" s="148" t="s">
        <v>8</v>
      </c>
      <c r="B55" s="1638">
        <v>7</v>
      </c>
      <c r="C55" s="1640" t="s">
        <v>27</v>
      </c>
      <c r="D55" s="1640" t="s">
        <v>544</v>
      </c>
      <c r="E55" s="1644">
        <v>2362</v>
      </c>
      <c r="F55" s="1640" t="s">
        <v>545</v>
      </c>
      <c r="G55" s="1646">
        <v>0</v>
      </c>
      <c r="H55" s="1632" t="s">
        <v>96</v>
      </c>
      <c r="I55" s="148" t="s">
        <v>8</v>
      </c>
    </row>
    <row r="56" spans="1:9">
      <c r="A56" s="148" t="s">
        <v>8</v>
      </c>
      <c r="B56" s="1638">
        <v>8</v>
      </c>
      <c r="C56" s="1640" t="s">
        <v>27</v>
      </c>
      <c r="D56" s="1640" t="s">
        <v>546</v>
      </c>
      <c r="E56" s="1644">
        <v>13016</v>
      </c>
      <c r="F56" s="1640" t="s">
        <v>547</v>
      </c>
      <c r="G56" s="1646">
        <v>0</v>
      </c>
      <c r="H56" s="1632" t="s">
        <v>96</v>
      </c>
      <c r="I56" s="148" t="s">
        <v>8</v>
      </c>
    </row>
    <row r="57" spans="1:9">
      <c r="A57" s="148" t="s">
        <v>8</v>
      </c>
      <c r="B57" s="1638">
        <v>9</v>
      </c>
      <c r="C57" s="1640" t="s">
        <v>27</v>
      </c>
      <c r="D57" s="1640" t="s">
        <v>548</v>
      </c>
      <c r="E57" s="1644">
        <v>17247.78</v>
      </c>
      <c r="F57" s="1640" t="s">
        <v>549</v>
      </c>
      <c r="G57" s="1646">
        <v>0</v>
      </c>
      <c r="H57" s="1632" t="s">
        <v>96</v>
      </c>
      <c r="I57" s="148" t="s">
        <v>8</v>
      </c>
    </row>
    <row r="58" spans="1:9">
      <c r="A58" s="148" t="s">
        <v>8</v>
      </c>
      <c r="B58" s="1638" t="s">
        <v>8</v>
      </c>
      <c r="C58" s="1640" t="s">
        <v>8</v>
      </c>
      <c r="D58" s="1640" t="s">
        <v>8</v>
      </c>
      <c r="E58" s="1644" t="s">
        <v>8</v>
      </c>
      <c r="F58" s="1640" t="s">
        <v>8</v>
      </c>
      <c r="G58" s="1646" t="s">
        <v>8</v>
      </c>
      <c r="H58" s="1632" t="s">
        <v>8</v>
      </c>
      <c r="I58" s="148" t="s">
        <v>8</v>
      </c>
    </row>
    <row r="59" spans="1:9" ht="15.75" thickBot="1">
      <c r="A59" s="148" t="s">
        <v>8</v>
      </c>
      <c r="B59" s="1639" t="s">
        <v>8</v>
      </c>
      <c r="C59" s="1641" t="s">
        <v>8</v>
      </c>
      <c r="D59" s="1643" t="s">
        <v>51</v>
      </c>
      <c r="E59" s="1645">
        <f>SUM($E$49:$E$58)</f>
        <v>179068.03</v>
      </c>
      <c r="F59" s="1641" t="s">
        <v>8</v>
      </c>
      <c r="G59" s="1647" t="s">
        <v>8</v>
      </c>
      <c r="H59" s="1627" t="s">
        <v>8</v>
      </c>
      <c r="I59" s="148" t="s">
        <v>8</v>
      </c>
    </row>
    <row r="60" spans="1:9" ht="16.5" thickTop="1" thickBot="1">
      <c r="A60" s="148" t="s">
        <v>8</v>
      </c>
      <c r="B60" s="1629" t="s">
        <v>8</v>
      </c>
      <c r="C60" s="148" t="s">
        <v>8</v>
      </c>
      <c r="D60" s="148" t="s">
        <v>8</v>
      </c>
      <c r="E60" s="149" t="s">
        <v>8</v>
      </c>
      <c r="F60" s="148" t="s">
        <v>8</v>
      </c>
      <c r="G60" s="1628" t="s">
        <v>8</v>
      </c>
      <c r="H60" s="148" t="s">
        <v>8</v>
      </c>
      <c r="I60" s="148" t="s">
        <v>8</v>
      </c>
    </row>
    <row r="61" spans="1:9" ht="15.75" thickTop="1">
      <c r="A61" s="148" t="s">
        <v>8</v>
      </c>
      <c r="B61" s="1648" t="s">
        <v>8</v>
      </c>
      <c r="C61" s="1623" t="s">
        <v>8</v>
      </c>
      <c r="D61" s="1623" t="s">
        <v>8</v>
      </c>
      <c r="E61" s="1649" t="s">
        <v>8</v>
      </c>
      <c r="F61" s="1623" t="s">
        <v>8</v>
      </c>
      <c r="G61" s="1650" t="s">
        <v>8</v>
      </c>
      <c r="H61" s="1624" t="s">
        <v>8</v>
      </c>
      <c r="I61" s="148" t="s">
        <v>8</v>
      </c>
    </row>
    <row r="62" spans="1:9">
      <c r="A62" s="148" t="s">
        <v>8</v>
      </c>
      <c r="B62" s="1631" t="s">
        <v>8</v>
      </c>
      <c r="C62" s="2152" t="s">
        <v>8</v>
      </c>
      <c r="D62" s="2154" t="s">
        <v>114</v>
      </c>
      <c r="E62" s="2153">
        <f>ABS(E13+$E$20-$E$59+$E$39-$E$45)</f>
        <v>624105.44999999995</v>
      </c>
      <c r="F62" s="2152" t="s">
        <v>8</v>
      </c>
      <c r="G62" s="2156" t="s">
        <v>8</v>
      </c>
      <c r="H62" s="1632" t="s">
        <v>8</v>
      </c>
      <c r="I62" s="148" t="s">
        <v>8</v>
      </c>
    </row>
    <row r="63" spans="1:9">
      <c r="A63" s="148" t="s">
        <v>8</v>
      </c>
      <c r="B63" s="1631" t="s">
        <v>8</v>
      </c>
      <c r="C63" s="2152" t="s">
        <v>8</v>
      </c>
      <c r="D63" s="2154" t="s">
        <v>115</v>
      </c>
      <c r="E63" s="2153">
        <v>624105.44999999995</v>
      </c>
      <c r="F63" s="2152" t="s">
        <v>8</v>
      </c>
      <c r="G63" s="2156" t="s">
        <v>8</v>
      </c>
      <c r="H63" s="1632" t="s">
        <v>8</v>
      </c>
      <c r="I63" s="148" t="s">
        <v>116</v>
      </c>
    </row>
    <row r="64" spans="1:9" ht="15.75" thickBot="1">
      <c r="A64" s="148" t="s">
        <v>8</v>
      </c>
      <c r="B64" s="1633" t="s">
        <v>8</v>
      </c>
      <c r="C64" s="1626" t="s">
        <v>8</v>
      </c>
      <c r="D64" s="1634" t="s">
        <v>117</v>
      </c>
      <c r="E64" s="1635">
        <f>$E$63-$E$62</f>
        <v>0</v>
      </c>
      <c r="F64" s="1626" t="s">
        <v>8</v>
      </c>
      <c r="G64" s="1636" t="s">
        <v>8</v>
      </c>
      <c r="H64" s="1627" t="s">
        <v>8</v>
      </c>
      <c r="I64" s="148" t="s">
        <v>8</v>
      </c>
    </row>
    <row r="65" spans="1:9" ht="16.5" thickTop="1" thickBot="1">
      <c r="A65" s="148" t="s">
        <v>8</v>
      </c>
      <c r="B65" s="1629" t="s">
        <v>8</v>
      </c>
      <c r="C65" s="148" t="s">
        <v>8</v>
      </c>
      <c r="D65" s="148" t="s">
        <v>8</v>
      </c>
      <c r="E65" s="149" t="s">
        <v>8</v>
      </c>
      <c r="F65" s="148" t="s">
        <v>8</v>
      </c>
      <c r="G65" s="1628" t="s">
        <v>8</v>
      </c>
      <c r="H65" s="148" t="s">
        <v>8</v>
      </c>
      <c r="I65" s="148" t="s">
        <v>8</v>
      </c>
    </row>
    <row r="66" spans="1:9" ht="15.75" thickTop="1">
      <c r="A66" s="148" t="s">
        <v>8</v>
      </c>
      <c r="B66" s="1648" t="s">
        <v>8</v>
      </c>
      <c r="C66" s="1623" t="s">
        <v>8</v>
      </c>
      <c r="D66" s="1630" t="s">
        <v>118</v>
      </c>
      <c r="E66" s="1654" t="s">
        <v>119</v>
      </c>
      <c r="F66" s="1630" t="s">
        <v>120</v>
      </c>
      <c r="G66" s="1650">
        <v>45981</v>
      </c>
      <c r="H66" s="1624" t="s">
        <v>8</v>
      </c>
      <c r="I66" s="148" t="s">
        <v>8</v>
      </c>
    </row>
    <row r="67" spans="1:9">
      <c r="A67" s="148" t="s">
        <v>8</v>
      </c>
      <c r="B67" s="1631" t="s">
        <v>8</v>
      </c>
      <c r="C67" s="2152" t="s">
        <v>8</v>
      </c>
      <c r="D67" s="2152" t="s">
        <v>8</v>
      </c>
      <c r="E67" s="2155" t="s">
        <v>8</v>
      </c>
      <c r="F67" s="2152" t="s">
        <v>8</v>
      </c>
      <c r="G67" s="2156" t="s">
        <v>8</v>
      </c>
      <c r="H67" s="1632" t="s">
        <v>8</v>
      </c>
      <c r="I67" s="148" t="s">
        <v>8</v>
      </c>
    </row>
    <row r="68" spans="1:9">
      <c r="A68" s="148" t="s">
        <v>8</v>
      </c>
      <c r="B68" s="1631" t="s">
        <v>8</v>
      </c>
      <c r="C68" s="2152" t="s">
        <v>8</v>
      </c>
      <c r="D68" s="2152" t="s">
        <v>8</v>
      </c>
      <c r="E68" s="2155" t="s">
        <v>8</v>
      </c>
      <c r="F68" s="2152" t="s">
        <v>8</v>
      </c>
      <c r="G68" s="2156" t="s">
        <v>8</v>
      </c>
      <c r="H68" s="1632" t="s">
        <v>8</v>
      </c>
      <c r="I68" s="148" t="s">
        <v>8</v>
      </c>
    </row>
    <row r="69" spans="1:9">
      <c r="A69" s="148" t="s">
        <v>8</v>
      </c>
      <c r="B69" s="1631" t="s">
        <v>8</v>
      </c>
      <c r="C69" s="2152" t="s">
        <v>8</v>
      </c>
      <c r="D69" s="2154" t="s">
        <v>121</v>
      </c>
      <c r="E69" s="2153" t="s">
        <v>8</v>
      </c>
      <c r="F69" s="2154" t="s">
        <v>120</v>
      </c>
      <c r="G69" s="2156" t="s">
        <v>8</v>
      </c>
      <c r="H69" s="1632" t="s">
        <v>8</v>
      </c>
      <c r="I69" s="148" t="s">
        <v>8</v>
      </c>
    </row>
    <row r="70" spans="1:9">
      <c r="B70" s="180"/>
      <c r="C70" s="1919"/>
      <c r="D70" s="1919"/>
      <c r="E70" s="1919"/>
      <c r="F70" s="1919"/>
      <c r="G70" s="1919"/>
      <c r="H70" s="181"/>
    </row>
    <row r="71" spans="1:9" ht="15.75" thickBot="1">
      <c r="B71" s="182"/>
      <c r="C71" s="183"/>
      <c r="D71" s="183"/>
      <c r="E71" s="183"/>
      <c r="F71" s="183"/>
      <c r="G71" s="183"/>
      <c r="H71" s="184"/>
    </row>
    <row r="72" spans="1:9" ht="15.75" thickTop="1"/>
  </sheetData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83.140625" bestFit="1" customWidth="1"/>
    <col min="5" max="5" width="24.5703125" bestFit="1" customWidth="1"/>
    <col min="6" max="6" width="18.855468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53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53" t="s">
        <v>7</v>
      </c>
      <c r="I1" s="153" t="s">
        <v>196</v>
      </c>
    </row>
    <row r="2" spans="1:9">
      <c r="A2" s="151" t="s">
        <v>8</v>
      </c>
      <c r="B2" s="151" t="s">
        <v>8</v>
      </c>
      <c r="C2" s="151" t="s">
        <v>8</v>
      </c>
      <c r="D2" s="151" t="s">
        <v>8</v>
      </c>
      <c r="E2" s="151" t="s">
        <v>8</v>
      </c>
      <c r="F2" s="151" t="s">
        <v>8</v>
      </c>
      <c r="G2" s="151" t="s">
        <v>8</v>
      </c>
      <c r="H2" s="151" t="s">
        <v>8</v>
      </c>
      <c r="I2" s="151" t="s">
        <v>8</v>
      </c>
    </row>
    <row r="3" spans="1:9" ht="15.75" thickBot="1">
      <c r="A3" s="151" t="s">
        <v>8</v>
      </c>
      <c r="B3" s="151" t="s">
        <v>8</v>
      </c>
      <c r="C3" s="151" t="s">
        <v>8</v>
      </c>
      <c r="D3" s="151" t="s">
        <v>8</v>
      </c>
      <c r="E3" s="151" t="s">
        <v>8</v>
      </c>
      <c r="F3" s="151" t="s">
        <v>8</v>
      </c>
      <c r="G3" s="151" t="s">
        <v>8</v>
      </c>
      <c r="H3" s="151" t="s">
        <v>8</v>
      </c>
      <c r="I3" s="151" t="s">
        <v>8</v>
      </c>
    </row>
    <row r="4" spans="1:9" ht="16.5" thickTop="1" thickBot="1">
      <c r="A4" s="151" t="s">
        <v>8</v>
      </c>
      <c r="B4" s="151" t="s">
        <v>14</v>
      </c>
      <c r="C4" s="151" t="s">
        <v>8</v>
      </c>
      <c r="D4" s="1656" t="s">
        <v>15</v>
      </c>
      <c r="E4" s="151" t="s">
        <v>16</v>
      </c>
      <c r="F4" s="1656" t="s">
        <v>550</v>
      </c>
      <c r="G4" s="151" t="s">
        <v>8</v>
      </c>
      <c r="H4" s="151" t="s">
        <v>8</v>
      </c>
      <c r="I4" s="151" t="s">
        <v>8</v>
      </c>
    </row>
    <row r="5" spans="1:9" ht="16.5" thickTop="1" thickBot="1">
      <c r="A5" s="151" t="s">
        <v>8</v>
      </c>
      <c r="B5" s="151" t="s">
        <v>8</v>
      </c>
      <c r="C5" s="151" t="s">
        <v>8</v>
      </c>
      <c r="D5" s="151" t="s">
        <v>8</v>
      </c>
      <c r="E5" s="151" t="s">
        <v>8</v>
      </c>
      <c r="F5" s="151" t="s">
        <v>8</v>
      </c>
      <c r="G5" s="151" t="s">
        <v>8</v>
      </c>
      <c r="H5" s="151" t="s">
        <v>8</v>
      </c>
      <c r="I5" s="151" t="s">
        <v>8</v>
      </c>
    </row>
    <row r="6" spans="1:9" ht="16.5" thickTop="1" thickBot="1">
      <c r="A6" s="151" t="s">
        <v>8</v>
      </c>
      <c r="B6" s="151" t="s">
        <v>18</v>
      </c>
      <c r="C6" s="151" t="s">
        <v>8</v>
      </c>
      <c r="D6" s="1656" t="s">
        <v>19</v>
      </c>
      <c r="E6" s="151" t="s">
        <v>20</v>
      </c>
      <c r="F6" s="1656" t="s">
        <v>551</v>
      </c>
      <c r="G6" s="151" t="s">
        <v>8</v>
      </c>
      <c r="H6" s="151" t="s">
        <v>8</v>
      </c>
      <c r="I6" s="151" t="s">
        <v>8</v>
      </c>
    </row>
    <row r="7" spans="1:9" ht="16.5" thickTop="1" thickBot="1">
      <c r="A7" s="151" t="s">
        <v>8</v>
      </c>
      <c r="B7" s="151" t="s">
        <v>8</v>
      </c>
      <c r="C7" s="151" t="s">
        <v>8</v>
      </c>
      <c r="D7" s="151" t="s">
        <v>8</v>
      </c>
      <c r="E7" s="151" t="s">
        <v>8</v>
      </c>
      <c r="F7" s="151" t="s">
        <v>8</v>
      </c>
      <c r="G7" s="151" t="s">
        <v>8</v>
      </c>
      <c r="H7" s="151" t="s">
        <v>8</v>
      </c>
      <c r="I7" s="151" t="s">
        <v>8</v>
      </c>
    </row>
    <row r="8" spans="1:9" ht="16.5" thickTop="1" thickBot="1">
      <c r="A8" s="151" t="s">
        <v>8</v>
      </c>
      <c r="B8" s="151" t="s">
        <v>22</v>
      </c>
      <c r="C8" s="151" t="s">
        <v>8</v>
      </c>
      <c r="D8" s="1656" t="s">
        <v>11</v>
      </c>
      <c r="E8" s="151" t="s">
        <v>23</v>
      </c>
      <c r="F8" s="1656" t="s">
        <v>552</v>
      </c>
      <c r="G8" s="151" t="s">
        <v>8</v>
      </c>
      <c r="H8" s="151" t="s">
        <v>8</v>
      </c>
      <c r="I8" s="151" t="s">
        <v>8</v>
      </c>
    </row>
    <row r="9" spans="1:9" ht="16.5" thickTop="1" thickBot="1">
      <c r="A9" s="151" t="s">
        <v>8</v>
      </c>
      <c r="B9" s="151" t="s">
        <v>8</v>
      </c>
      <c r="C9" s="151" t="s">
        <v>8</v>
      </c>
      <c r="D9" s="151" t="s">
        <v>8</v>
      </c>
      <c r="E9" s="151" t="s">
        <v>8</v>
      </c>
      <c r="F9" s="151" t="s">
        <v>8</v>
      </c>
      <c r="G9" s="151" t="s">
        <v>8</v>
      </c>
      <c r="H9" s="151" t="s">
        <v>8</v>
      </c>
      <c r="I9" s="151" t="s">
        <v>8</v>
      </c>
    </row>
    <row r="10" spans="1:9" ht="16.5" thickTop="1" thickBot="1">
      <c r="A10" s="151" t="s">
        <v>8</v>
      </c>
      <c r="B10" s="151" t="s">
        <v>25</v>
      </c>
      <c r="C10" s="151" t="s">
        <v>8</v>
      </c>
      <c r="D10" s="1656" t="s">
        <v>26</v>
      </c>
      <c r="E10" s="151" t="s">
        <v>8</v>
      </c>
      <c r="F10" s="151" t="s">
        <v>8</v>
      </c>
      <c r="G10" s="151" t="s">
        <v>8</v>
      </c>
      <c r="H10" s="151" t="s">
        <v>8</v>
      </c>
      <c r="I10" s="151" t="s">
        <v>8</v>
      </c>
    </row>
    <row r="11" spans="1:9" ht="16.5" thickTop="1" thickBot="1">
      <c r="A11" s="151" t="s">
        <v>8</v>
      </c>
      <c r="B11" s="151" t="s">
        <v>8</v>
      </c>
      <c r="C11" s="151" t="s">
        <v>8</v>
      </c>
      <c r="D11" s="151" t="s">
        <v>8</v>
      </c>
      <c r="E11" s="151" t="s">
        <v>8</v>
      </c>
      <c r="F11" s="151" t="s">
        <v>8</v>
      </c>
      <c r="G11" s="151" t="s">
        <v>8</v>
      </c>
      <c r="H11" s="151" t="s">
        <v>8</v>
      </c>
      <c r="I11" s="151" t="s">
        <v>8</v>
      </c>
    </row>
    <row r="12" spans="1:9" ht="16.5" thickTop="1" thickBot="1">
      <c r="A12" s="151" t="s">
        <v>8</v>
      </c>
      <c r="B12" s="1657" t="s">
        <v>8</v>
      </c>
      <c r="C12" s="1658" t="s">
        <v>8</v>
      </c>
      <c r="D12" s="1658" t="s">
        <v>8</v>
      </c>
      <c r="E12" s="1658" t="s">
        <v>8</v>
      </c>
      <c r="F12" s="1658" t="s">
        <v>8</v>
      </c>
      <c r="G12" s="1658" t="s">
        <v>8</v>
      </c>
      <c r="H12" s="1659" t="s">
        <v>8</v>
      </c>
      <c r="I12" s="151" t="s">
        <v>8</v>
      </c>
    </row>
    <row r="13" spans="1:9" ht="16.5" thickTop="1" thickBot="1">
      <c r="A13" s="151" t="s">
        <v>8</v>
      </c>
      <c r="B13" s="1660" t="s">
        <v>8</v>
      </c>
      <c r="C13" s="1655" t="s">
        <v>11</v>
      </c>
      <c r="D13" s="1661" t="s">
        <v>28</v>
      </c>
      <c r="E13" s="1670">
        <v>68702.880000000005</v>
      </c>
      <c r="F13" s="1661" t="s">
        <v>8</v>
      </c>
      <c r="G13" s="1661" t="s">
        <v>8</v>
      </c>
      <c r="H13" s="1662" t="s">
        <v>8</v>
      </c>
      <c r="I13" s="151" t="s">
        <v>29</v>
      </c>
    </row>
    <row r="14" spans="1:9" ht="16.5" thickTop="1" thickBot="1">
      <c r="A14" s="151" t="s">
        <v>8</v>
      </c>
      <c r="B14" s="151" t="s">
        <v>8</v>
      </c>
      <c r="C14" s="151" t="s">
        <v>8</v>
      </c>
      <c r="D14" s="151" t="s">
        <v>8</v>
      </c>
      <c r="E14" s="151" t="s">
        <v>8</v>
      </c>
      <c r="F14" s="151" t="s">
        <v>8</v>
      </c>
      <c r="G14" s="151" t="s">
        <v>8</v>
      </c>
      <c r="H14" s="151" t="s">
        <v>8</v>
      </c>
      <c r="I14" s="151" t="s">
        <v>8</v>
      </c>
    </row>
    <row r="15" spans="1:9" ht="16.5" thickTop="1" thickBot="1">
      <c r="A15" s="151" t="s">
        <v>8</v>
      </c>
      <c r="B15" s="1656" t="s">
        <v>30</v>
      </c>
      <c r="C15" s="1655" t="s">
        <v>31</v>
      </c>
      <c r="D15" s="1655" t="s">
        <v>32</v>
      </c>
      <c r="E15" s="1655" t="s">
        <v>33</v>
      </c>
      <c r="F15" s="1655" t="s">
        <v>34</v>
      </c>
      <c r="G15" s="1655" t="s">
        <v>35</v>
      </c>
      <c r="H15" s="1655" t="s">
        <v>36</v>
      </c>
      <c r="I15" s="151" t="s">
        <v>8</v>
      </c>
    </row>
    <row r="16" spans="1:9" ht="16.5" thickTop="1" thickBot="1">
      <c r="A16" s="151" t="s">
        <v>8</v>
      </c>
      <c r="B16" s="151" t="s">
        <v>8</v>
      </c>
      <c r="C16" s="151" t="s">
        <v>8</v>
      </c>
      <c r="D16" s="151" t="s">
        <v>8</v>
      </c>
      <c r="E16" s="151" t="s">
        <v>8</v>
      </c>
      <c r="F16" s="151" t="s">
        <v>8</v>
      </c>
      <c r="G16" s="151" t="s">
        <v>8</v>
      </c>
      <c r="H16" s="151" t="s">
        <v>8</v>
      </c>
      <c r="I16" s="151" t="s">
        <v>8</v>
      </c>
    </row>
    <row r="17" spans="1:9" ht="15.75" thickTop="1">
      <c r="A17" s="151" t="s">
        <v>8</v>
      </c>
      <c r="B17" s="1672" t="s">
        <v>8</v>
      </c>
      <c r="C17" s="1672" t="s">
        <v>8</v>
      </c>
      <c r="D17" s="1677" t="s">
        <v>508</v>
      </c>
      <c r="E17" s="1672" t="s">
        <v>8</v>
      </c>
      <c r="F17" s="1672" t="s">
        <v>8</v>
      </c>
      <c r="G17" s="1672" t="s">
        <v>8</v>
      </c>
      <c r="H17" s="1659" t="s">
        <v>8</v>
      </c>
      <c r="I17" s="151" t="s">
        <v>8</v>
      </c>
    </row>
    <row r="18" spans="1:9">
      <c r="A18" s="151" t="s">
        <v>8</v>
      </c>
      <c r="B18" s="1673">
        <v>1</v>
      </c>
      <c r="C18" s="1675" t="s">
        <v>27</v>
      </c>
      <c r="D18" s="1675" t="s">
        <v>553</v>
      </c>
      <c r="E18" s="1679">
        <v>3835.55</v>
      </c>
      <c r="F18" s="1675" t="s">
        <v>554</v>
      </c>
      <c r="G18" s="1681">
        <v>0</v>
      </c>
      <c r="H18" s="1667" t="s">
        <v>41</v>
      </c>
      <c r="I18" s="151" t="s">
        <v>8</v>
      </c>
    </row>
    <row r="19" spans="1:9">
      <c r="A19" s="151" t="s">
        <v>8</v>
      </c>
      <c r="B19" s="1673" t="s">
        <v>8</v>
      </c>
      <c r="C19" s="1675" t="s">
        <v>8</v>
      </c>
      <c r="D19" s="1675" t="s">
        <v>8</v>
      </c>
      <c r="E19" s="1679" t="s">
        <v>8</v>
      </c>
      <c r="F19" s="1675" t="s">
        <v>8</v>
      </c>
      <c r="G19" s="1681" t="s">
        <v>8</v>
      </c>
      <c r="H19" s="1667" t="s">
        <v>8</v>
      </c>
      <c r="I19" s="151" t="s">
        <v>8</v>
      </c>
    </row>
    <row r="20" spans="1:9" ht="15.75" thickBot="1">
      <c r="A20" s="151" t="s">
        <v>8</v>
      </c>
      <c r="B20" s="1674" t="s">
        <v>8</v>
      </c>
      <c r="C20" s="1676" t="s">
        <v>8</v>
      </c>
      <c r="D20" s="1678" t="s">
        <v>51</v>
      </c>
      <c r="E20" s="1680">
        <f>SUM($E$18:$E$19)</f>
        <v>3835.55</v>
      </c>
      <c r="F20" s="1676" t="s">
        <v>8</v>
      </c>
      <c r="G20" s="1682" t="s">
        <v>8</v>
      </c>
      <c r="H20" s="1662" t="s">
        <v>8</v>
      </c>
      <c r="I20" s="151" t="s">
        <v>8</v>
      </c>
    </row>
    <row r="21" spans="1:9" ht="15.75" thickTop="1">
      <c r="A21" s="151" t="s">
        <v>8</v>
      </c>
      <c r="B21" s="1664" t="s">
        <v>8</v>
      </c>
      <c r="C21" s="151" t="s">
        <v>8</v>
      </c>
      <c r="D21" s="151" t="s">
        <v>8</v>
      </c>
      <c r="E21" s="152" t="s">
        <v>8</v>
      </c>
      <c r="F21" s="151" t="s">
        <v>8</v>
      </c>
      <c r="G21" s="1663" t="s">
        <v>8</v>
      </c>
      <c r="H21" s="151" t="s">
        <v>8</v>
      </c>
      <c r="I21" s="151" t="s">
        <v>8</v>
      </c>
    </row>
    <row r="22" spans="1:9" ht="15.75" thickBot="1">
      <c r="A22" s="151" t="s">
        <v>8</v>
      </c>
      <c r="B22" s="1664" t="s">
        <v>8</v>
      </c>
      <c r="C22" s="151" t="s">
        <v>8</v>
      </c>
      <c r="D22" s="151" t="s">
        <v>8</v>
      </c>
      <c r="E22" s="152" t="s">
        <v>8</v>
      </c>
      <c r="F22" s="151" t="s">
        <v>8</v>
      </c>
      <c r="G22" s="1663" t="s">
        <v>8</v>
      </c>
      <c r="H22" s="151" t="s">
        <v>8</v>
      </c>
      <c r="I22" s="151" t="s">
        <v>8</v>
      </c>
    </row>
    <row r="23" spans="1:9" ht="15.75" thickTop="1">
      <c r="A23" s="151" t="s">
        <v>8</v>
      </c>
      <c r="B23" s="1686" t="s">
        <v>8</v>
      </c>
      <c r="C23" s="1672" t="s">
        <v>8</v>
      </c>
      <c r="D23" s="1677" t="s">
        <v>509</v>
      </c>
      <c r="E23" s="1687" t="s">
        <v>8</v>
      </c>
      <c r="F23" s="1672" t="s">
        <v>8</v>
      </c>
      <c r="G23" s="1688" t="s">
        <v>8</v>
      </c>
      <c r="H23" s="1659" t="s">
        <v>8</v>
      </c>
      <c r="I23" s="151" t="s">
        <v>8</v>
      </c>
    </row>
    <row r="24" spans="1:9">
      <c r="A24" s="151" t="s">
        <v>8</v>
      </c>
      <c r="B24" s="1673" t="s">
        <v>8</v>
      </c>
      <c r="C24" s="1675" t="s">
        <v>8</v>
      </c>
      <c r="D24" s="1675" t="s">
        <v>8</v>
      </c>
      <c r="E24" s="1679" t="s">
        <v>8</v>
      </c>
      <c r="F24" s="1675" t="s">
        <v>8</v>
      </c>
      <c r="G24" s="1681" t="s">
        <v>8</v>
      </c>
      <c r="H24" s="1667" t="s">
        <v>8</v>
      </c>
      <c r="I24" s="151" t="s">
        <v>8</v>
      </c>
    </row>
    <row r="25" spans="1:9">
      <c r="A25" s="151" t="s">
        <v>8</v>
      </c>
      <c r="B25" s="1673" t="s">
        <v>8</v>
      </c>
      <c r="C25" s="1675" t="s">
        <v>8</v>
      </c>
      <c r="D25" s="1675" t="s">
        <v>8</v>
      </c>
      <c r="E25" s="1679" t="s">
        <v>8</v>
      </c>
      <c r="F25" s="1675" t="s">
        <v>8</v>
      </c>
      <c r="G25" s="1681" t="s">
        <v>8</v>
      </c>
      <c r="H25" s="1667" t="s">
        <v>8</v>
      </c>
      <c r="I25" s="151" t="s">
        <v>8</v>
      </c>
    </row>
    <row r="26" spans="1:9" ht="15.75" thickBot="1">
      <c r="A26" s="151" t="s">
        <v>8</v>
      </c>
      <c r="B26" s="1674" t="s">
        <v>8</v>
      </c>
      <c r="C26" s="1676" t="s">
        <v>8</v>
      </c>
      <c r="D26" s="1678" t="s">
        <v>51</v>
      </c>
      <c r="E26" s="1680">
        <f>SUM($E$24:$E$25)</f>
        <v>0</v>
      </c>
      <c r="F26" s="1676" t="s">
        <v>8</v>
      </c>
      <c r="G26" s="1682" t="s">
        <v>8</v>
      </c>
      <c r="H26" s="1662" t="s">
        <v>8</v>
      </c>
      <c r="I26" s="151" t="s">
        <v>8</v>
      </c>
    </row>
    <row r="27" spans="1:9" ht="15.75" thickTop="1">
      <c r="A27" s="151" t="s">
        <v>8</v>
      </c>
      <c r="B27" s="1664" t="s">
        <v>8</v>
      </c>
      <c r="C27" s="151" t="s">
        <v>8</v>
      </c>
      <c r="D27" s="151" t="s">
        <v>8</v>
      </c>
      <c r="E27" s="152" t="s">
        <v>8</v>
      </c>
      <c r="F27" s="151" t="s">
        <v>8</v>
      </c>
      <c r="G27" s="1663" t="s">
        <v>8</v>
      </c>
      <c r="H27" s="151" t="s">
        <v>8</v>
      </c>
      <c r="I27" s="151" t="s">
        <v>8</v>
      </c>
    </row>
    <row r="28" spans="1:9" ht="15.75" thickBot="1">
      <c r="A28" s="151" t="s">
        <v>8</v>
      </c>
      <c r="B28" s="1664" t="s">
        <v>8</v>
      </c>
      <c r="C28" s="151" t="s">
        <v>8</v>
      </c>
      <c r="D28" s="151" t="s">
        <v>8</v>
      </c>
      <c r="E28" s="152" t="s">
        <v>8</v>
      </c>
      <c r="F28" s="151" t="s">
        <v>8</v>
      </c>
      <c r="G28" s="1663" t="s">
        <v>8</v>
      </c>
      <c r="H28" s="151" t="s">
        <v>8</v>
      </c>
      <c r="I28" s="151" t="s">
        <v>8</v>
      </c>
    </row>
    <row r="29" spans="1:9" ht="15.75" thickTop="1">
      <c r="A29" s="151" t="s">
        <v>8</v>
      </c>
      <c r="B29" s="1686" t="s">
        <v>8</v>
      </c>
      <c r="C29" s="1672" t="s">
        <v>8</v>
      </c>
      <c r="D29" s="1677" t="s">
        <v>534</v>
      </c>
      <c r="E29" s="1687" t="s">
        <v>8</v>
      </c>
      <c r="F29" s="1672" t="s">
        <v>8</v>
      </c>
      <c r="G29" s="1688" t="s">
        <v>8</v>
      </c>
      <c r="H29" s="1659" t="s">
        <v>8</v>
      </c>
      <c r="I29" s="151" t="s">
        <v>8</v>
      </c>
    </row>
    <row r="30" spans="1:9">
      <c r="A30" s="151" t="s">
        <v>8</v>
      </c>
      <c r="B30" s="1673">
        <v>1</v>
      </c>
      <c r="C30" s="1675" t="s">
        <v>56</v>
      </c>
      <c r="D30" s="1675" t="s">
        <v>555</v>
      </c>
      <c r="E30" s="1679">
        <v>1125</v>
      </c>
      <c r="F30" s="1675" t="s">
        <v>556</v>
      </c>
      <c r="G30" s="1681">
        <v>2</v>
      </c>
      <c r="H30" s="1667" t="s">
        <v>88</v>
      </c>
      <c r="I30" s="151" t="s">
        <v>8</v>
      </c>
    </row>
    <row r="31" spans="1:9">
      <c r="A31" s="151" t="s">
        <v>8</v>
      </c>
      <c r="B31" s="1673">
        <v>2</v>
      </c>
      <c r="C31" s="1675" t="s">
        <v>48</v>
      </c>
      <c r="D31" s="1675" t="s">
        <v>557</v>
      </c>
      <c r="E31" s="1679">
        <v>3835.55</v>
      </c>
      <c r="F31" s="1675" t="s">
        <v>558</v>
      </c>
      <c r="G31" s="1681">
        <v>1</v>
      </c>
      <c r="H31" s="1667" t="s">
        <v>88</v>
      </c>
      <c r="I31" s="151" t="s">
        <v>8</v>
      </c>
    </row>
    <row r="32" spans="1:9">
      <c r="A32" s="151" t="s">
        <v>8</v>
      </c>
      <c r="B32" s="1673" t="s">
        <v>8</v>
      </c>
      <c r="C32" s="1675" t="s">
        <v>8</v>
      </c>
      <c r="D32" s="1675" t="s">
        <v>8</v>
      </c>
      <c r="E32" s="1679" t="s">
        <v>8</v>
      </c>
      <c r="F32" s="1675" t="s">
        <v>8</v>
      </c>
      <c r="G32" s="1681" t="s">
        <v>8</v>
      </c>
      <c r="H32" s="1667" t="s">
        <v>8</v>
      </c>
      <c r="I32" s="151" t="s">
        <v>8</v>
      </c>
    </row>
    <row r="33" spans="1:9" ht="15.75" thickBot="1">
      <c r="A33" s="151" t="s">
        <v>8</v>
      </c>
      <c r="B33" s="1674" t="s">
        <v>8</v>
      </c>
      <c r="C33" s="1676" t="s">
        <v>8</v>
      </c>
      <c r="D33" s="1678" t="s">
        <v>51</v>
      </c>
      <c r="E33" s="1680">
        <f>SUM($E$30:$E$32)</f>
        <v>4960.55</v>
      </c>
      <c r="F33" s="1676" t="s">
        <v>8</v>
      </c>
      <c r="G33" s="1682" t="s">
        <v>8</v>
      </c>
      <c r="H33" s="1662" t="s">
        <v>8</v>
      </c>
      <c r="I33" s="151" t="s">
        <v>8</v>
      </c>
    </row>
    <row r="34" spans="1:9" ht="15.75" thickTop="1">
      <c r="A34" s="151" t="s">
        <v>8</v>
      </c>
      <c r="B34" s="1664" t="s">
        <v>8</v>
      </c>
      <c r="C34" s="151" t="s">
        <v>8</v>
      </c>
      <c r="D34" s="151" t="s">
        <v>8</v>
      </c>
      <c r="E34" s="152" t="s">
        <v>8</v>
      </c>
      <c r="F34" s="151" t="s">
        <v>8</v>
      </c>
      <c r="G34" s="1663" t="s">
        <v>8</v>
      </c>
      <c r="H34" s="151" t="s">
        <v>8</v>
      </c>
      <c r="I34" s="151" t="s">
        <v>8</v>
      </c>
    </row>
    <row r="35" spans="1:9" ht="15.75" thickBot="1">
      <c r="A35" s="151" t="s">
        <v>8</v>
      </c>
      <c r="B35" s="1664" t="s">
        <v>8</v>
      </c>
      <c r="C35" s="151" t="s">
        <v>8</v>
      </c>
      <c r="D35" s="151" t="s">
        <v>8</v>
      </c>
      <c r="E35" s="152" t="s">
        <v>8</v>
      </c>
      <c r="F35" s="151" t="s">
        <v>8</v>
      </c>
      <c r="G35" s="1663" t="s">
        <v>8</v>
      </c>
      <c r="H35" s="151" t="s">
        <v>8</v>
      </c>
      <c r="I35" s="151" t="s">
        <v>8</v>
      </c>
    </row>
    <row r="36" spans="1:9" ht="15.75" thickTop="1">
      <c r="A36" s="151" t="s">
        <v>8</v>
      </c>
      <c r="B36" s="1686" t="s">
        <v>8</v>
      </c>
      <c r="C36" s="1672" t="s">
        <v>8</v>
      </c>
      <c r="D36" s="1677" t="s">
        <v>535</v>
      </c>
      <c r="E36" s="1687" t="s">
        <v>8</v>
      </c>
      <c r="F36" s="1672" t="s">
        <v>8</v>
      </c>
      <c r="G36" s="1688" t="s">
        <v>8</v>
      </c>
      <c r="H36" s="1659" t="s">
        <v>8</v>
      </c>
      <c r="I36" s="151" t="s">
        <v>8</v>
      </c>
    </row>
    <row r="37" spans="1:9">
      <c r="A37" s="151" t="s">
        <v>8</v>
      </c>
      <c r="B37" s="1673">
        <v>1</v>
      </c>
      <c r="C37" s="1675" t="s">
        <v>190</v>
      </c>
      <c r="D37" s="1675" t="s">
        <v>559</v>
      </c>
      <c r="E37" s="1679">
        <v>4500</v>
      </c>
      <c r="F37" s="1675" t="s">
        <v>337</v>
      </c>
      <c r="G37" s="1681">
        <v>6</v>
      </c>
      <c r="H37" s="1667" t="s">
        <v>96</v>
      </c>
      <c r="I37" s="151" t="s">
        <v>8</v>
      </c>
    </row>
    <row r="38" spans="1:9">
      <c r="A38" s="151" t="s">
        <v>8</v>
      </c>
      <c r="B38" s="1673">
        <v>2</v>
      </c>
      <c r="C38" s="1675" t="s">
        <v>190</v>
      </c>
      <c r="D38" s="1675" t="s">
        <v>368</v>
      </c>
      <c r="E38" s="1679">
        <v>17000</v>
      </c>
      <c r="F38" s="1675" t="s">
        <v>335</v>
      </c>
      <c r="G38" s="1681">
        <v>6</v>
      </c>
      <c r="H38" s="1667" t="s">
        <v>96</v>
      </c>
      <c r="I38" s="151" t="s">
        <v>8</v>
      </c>
    </row>
    <row r="39" spans="1:9">
      <c r="A39" s="151" t="s">
        <v>8</v>
      </c>
      <c r="B39" s="1673">
        <v>3</v>
      </c>
      <c r="C39" s="1675" t="s">
        <v>56</v>
      </c>
      <c r="D39" s="1675" t="s">
        <v>560</v>
      </c>
      <c r="E39" s="1679">
        <v>5800.75</v>
      </c>
      <c r="F39" s="1675" t="s">
        <v>347</v>
      </c>
      <c r="G39" s="1681">
        <v>2</v>
      </c>
      <c r="H39" s="1667" t="s">
        <v>96</v>
      </c>
      <c r="I39" s="151" t="s">
        <v>8</v>
      </c>
    </row>
    <row r="40" spans="1:9">
      <c r="A40" s="151" t="s">
        <v>8</v>
      </c>
      <c r="B40" s="1673" t="s">
        <v>8</v>
      </c>
      <c r="C40" s="1675" t="s">
        <v>8</v>
      </c>
      <c r="D40" s="1675" t="s">
        <v>8</v>
      </c>
      <c r="E40" s="1679" t="s">
        <v>8</v>
      </c>
      <c r="F40" s="1675" t="s">
        <v>8</v>
      </c>
      <c r="G40" s="1681" t="s">
        <v>8</v>
      </c>
      <c r="H40" s="1667" t="s">
        <v>8</v>
      </c>
      <c r="I40" s="151" t="s">
        <v>8</v>
      </c>
    </row>
    <row r="41" spans="1:9" ht="15.75" thickBot="1">
      <c r="A41" s="151" t="s">
        <v>8</v>
      </c>
      <c r="B41" s="1674" t="s">
        <v>8</v>
      </c>
      <c r="C41" s="1676" t="s">
        <v>8</v>
      </c>
      <c r="D41" s="1678" t="s">
        <v>51</v>
      </c>
      <c r="E41" s="1680">
        <f>SUM($E$37:$E$40)</f>
        <v>27300.75</v>
      </c>
      <c r="F41" s="1676" t="s">
        <v>8</v>
      </c>
      <c r="G41" s="1682" t="s">
        <v>8</v>
      </c>
      <c r="H41" s="1662" t="s">
        <v>8</v>
      </c>
      <c r="I41" s="151" t="s">
        <v>8</v>
      </c>
    </row>
    <row r="42" spans="1:9" ht="16.5" thickTop="1" thickBot="1">
      <c r="A42" s="151" t="s">
        <v>8</v>
      </c>
      <c r="B42" s="1664" t="s">
        <v>8</v>
      </c>
      <c r="C42" s="151" t="s">
        <v>8</v>
      </c>
      <c r="D42" s="151" t="s">
        <v>8</v>
      </c>
      <c r="E42" s="152" t="s">
        <v>8</v>
      </c>
      <c r="F42" s="151" t="s">
        <v>8</v>
      </c>
      <c r="G42" s="1663" t="s">
        <v>8</v>
      </c>
      <c r="H42" s="151" t="s">
        <v>8</v>
      </c>
      <c r="I42" s="151" t="s">
        <v>8</v>
      </c>
    </row>
    <row r="43" spans="1:9" ht="15.75" thickTop="1">
      <c r="A43" s="151" t="s">
        <v>8</v>
      </c>
      <c r="B43" s="1683" t="s">
        <v>8</v>
      </c>
      <c r="C43" s="1658" t="s">
        <v>8</v>
      </c>
      <c r="D43" s="1658" t="s">
        <v>8</v>
      </c>
      <c r="E43" s="1684" t="s">
        <v>8</v>
      </c>
      <c r="F43" s="1658" t="s">
        <v>8</v>
      </c>
      <c r="G43" s="1685" t="s">
        <v>8</v>
      </c>
      <c r="H43" s="1659" t="s">
        <v>8</v>
      </c>
      <c r="I43" s="151" t="s">
        <v>8</v>
      </c>
    </row>
    <row r="44" spans="1:9">
      <c r="A44" s="151" t="s">
        <v>8</v>
      </c>
      <c r="B44" s="1666" t="s">
        <v>8</v>
      </c>
      <c r="C44" s="2157" t="s">
        <v>8</v>
      </c>
      <c r="D44" s="2159" t="s">
        <v>114</v>
      </c>
      <c r="E44" s="2158">
        <f>ABS(E13+$E$20-$E$41+$E$26-$E$33)</f>
        <v>40277.130000000005</v>
      </c>
      <c r="F44" s="2157" t="s">
        <v>8</v>
      </c>
      <c r="G44" s="2161" t="s">
        <v>8</v>
      </c>
      <c r="H44" s="1667" t="s">
        <v>8</v>
      </c>
      <c r="I44" s="151" t="s">
        <v>8</v>
      </c>
    </row>
    <row r="45" spans="1:9">
      <c r="A45" s="151" t="s">
        <v>8</v>
      </c>
      <c r="B45" s="1666" t="s">
        <v>8</v>
      </c>
      <c r="C45" s="2157" t="s">
        <v>8</v>
      </c>
      <c r="D45" s="2159" t="s">
        <v>115</v>
      </c>
      <c r="E45" s="2158">
        <v>40277.129999999997</v>
      </c>
      <c r="F45" s="2157" t="s">
        <v>8</v>
      </c>
      <c r="G45" s="2161" t="s">
        <v>8</v>
      </c>
      <c r="H45" s="1667" t="s">
        <v>8</v>
      </c>
      <c r="I45" s="151" t="s">
        <v>116</v>
      </c>
    </row>
    <row r="46" spans="1:9" ht="15.75" thickBot="1">
      <c r="A46" s="151" t="s">
        <v>8</v>
      </c>
      <c r="B46" s="1668" t="s">
        <v>8</v>
      </c>
      <c r="C46" s="1661" t="s">
        <v>8</v>
      </c>
      <c r="D46" s="1669" t="s">
        <v>117</v>
      </c>
      <c r="E46" s="1670">
        <f>$E$45-$E$44</f>
        <v>0</v>
      </c>
      <c r="F46" s="1661" t="s">
        <v>8</v>
      </c>
      <c r="G46" s="1671" t="s">
        <v>8</v>
      </c>
      <c r="H46" s="1662" t="s">
        <v>8</v>
      </c>
      <c r="I46" s="151" t="s">
        <v>8</v>
      </c>
    </row>
    <row r="47" spans="1:9" ht="16.5" thickTop="1" thickBot="1">
      <c r="A47" s="151" t="s">
        <v>8</v>
      </c>
      <c r="B47" s="1664" t="s">
        <v>8</v>
      </c>
      <c r="C47" s="151" t="s">
        <v>8</v>
      </c>
      <c r="D47" s="151" t="s">
        <v>8</v>
      </c>
      <c r="E47" s="152" t="s">
        <v>8</v>
      </c>
      <c r="F47" s="151" t="s">
        <v>8</v>
      </c>
      <c r="G47" s="1663" t="s">
        <v>8</v>
      </c>
      <c r="H47" s="151" t="s">
        <v>8</v>
      </c>
      <c r="I47" s="151" t="s">
        <v>8</v>
      </c>
    </row>
    <row r="48" spans="1:9" ht="15.75" thickTop="1">
      <c r="A48" s="151" t="s">
        <v>8</v>
      </c>
      <c r="B48" s="1683" t="s">
        <v>8</v>
      </c>
      <c r="C48" s="1658" t="s">
        <v>8</v>
      </c>
      <c r="D48" s="1665" t="s">
        <v>118</v>
      </c>
      <c r="E48" s="1689" t="s">
        <v>119</v>
      </c>
      <c r="F48" s="1665" t="s">
        <v>120</v>
      </c>
      <c r="G48" s="1685">
        <v>45981</v>
      </c>
      <c r="H48" s="1659" t="s">
        <v>8</v>
      </c>
      <c r="I48" s="151" t="s">
        <v>8</v>
      </c>
    </row>
    <row r="49" spans="1:9">
      <c r="A49" s="151" t="s">
        <v>8</v>
      </c>
      <c r="B49" s="1666" t="s">
        <v>8</v>
      </c>
      <c r="C49" s="2157" t="s">
        <v>8</v>
      </c>
      <c r="D49" s="2157" t="s">
        <v>8</v>
      </c>
      <c r="E49" s="2160" t="s">
        <v>8</v>
      </c>
      <c r="F49" s="2157" t="s">
        <v>8</v>
      </c>
      <c r="G49" s="2161" t="s">
        <v>8</v>
      </c>
      <c r="H49" s="1667" t="s">
        <v>8</v>
      </c>
      <c r="I49" s="151" t="s">
        <v>8</v>
      </c>
    </row>
    <row r="50" spans="1:9">
      <c r="A50" s="151" t="s">
        <v>8</v>
      </c>
      <c r="B50" s="1666" t="s">
        <v>8</v>
      </c>
      <c r="C50" s="2157" t="s">
        <v>8</v>
      </c>
      <c r="D50" s="2157" t="s">
        <v>8</v>
      </c>
      <c r="E50" s="2160" t="s">
        <v>8</v>
      </c>
      <c r="F50" s="2157" t="s">
        <v>8</v>
      </c>
      <c r="G50" s="2161" t="s">
        <v>8</v>
      </c>
      <c r="H50" s="1667" t="s">
        <v>8</v>
      </c>
      <c r="I50" s="151" t="s">
        <v>8</v>
      </c>
    </row>
    <row r="51" spans="1:9">
      <c r="A51" s="151" t="s">
        <v>8</v>
      </c>
      <c r="B51" s="1666" t="s">
        <v>8</v>
      </c>
      <c r="C51" s="2157" t="s">
        <v>8</v>
      </c>
      <c r="D51" s="2159" t="s">
        <v>121</v>
      </c>
      <c r="E51" s="2158" t="s">
        <v>8</v>
      </c>
      <c r="F51" s="2159" t="s">
        <v>120</v>
      </c>
      <c r="G51" s="2161" t="s">
        <v>8</v>
      </c>
      <c r="H51" s="1667" t="s">
        <v>8</v>
      </c>
      <c r="I51" s="151" t="s">
        <v>8</v>
      </c>
    </row>
    <row r="52" spans="1:9">
      <c r="B52" s="180"/>
      <c r="C52" s="1919"/>
      <c r="D52" s="1919"/>
      <c r="E52" s="1919"/>
      <c r="F52" s="1919"/>
      <c r="G52" s="1919"/>
      <c r="H52" s="181"/>
    </row>
    <row r="53" spans="1:9" ht="15.75" thickBot="1">
      <c r="B53" s="182"/>
      <c r="C53" s="183"/>
      <c r="D53" s="183"/>
      <c r="E53" s="183"/>
      <c r="F53" s="183"/>
      <c r="G53" s="183"/>
      <c r="H53" s="184"/>
    </row>
    <row r="54" spans="1:9" ht="15.75" thickTop="1"/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2"/>
  <sheetViews>
    <sheetView showGridLines="0" topLeftCell="A5" workbookViewId="0">
      <selection activeCell="D22" sqref="D22"/>
    </sheetView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102" bestFit="1" customWidth="1"/>
    <col min="5" max="5" width="24.5703125" bestFit="1" customWidth="1"/>
    <col min="6" max="6" width="102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196</v>
      </c>
    </row>
    <row r="2" spans="1:9">
      <c r="A2" s="154" t="s">
        <v>8</v>
      </c>
      <c r="B2" s="154" t="s">
        <v>8</v>
      </c>
      <c r="C2" s="154" t="s">
        <v>8</v>
      </c>
      <c r="D2" s="154" t="s">
        <v>8</v>
      </c>
      <c r="E2" s="154" t="s">
        <v>8</v>
      </c>
      <c r="F2" s="154" t="s">
        <v>8</v>
      </c>
      <c r="G2" s="154" t="s">
        <v>8</v>
      </c>
      <c r="H2" s="154" t="s">
        <v>8</v>
      </c>
      <c r="I2" s="154" t="s">
        <v>8</v>
      </c>
    </row>
    <row r="3" spans="1:9" ht="15.75" thickBot="1">
      <c r="A3" s="154" t="s">
        <v>8</v>
      </c>
      <c r="B3" s="154" t="s">
        <v>8</v>
      </c>
      <c r="C3" s="154" t="s">
        <v>8</v>
      </c>
      <c r="D3" s="154" t="s">
        <v>8</v>
      </c>
      <c r="E3" s="154" t="s">
        <v>8</v>
      </c>
      <c r="F3" s="154" t="s">
        <v>8</v>
      </c>
      <c r="G3" s="154" t="s">
        <v>8</v>
      </c>
      <c r="H3" s="154" t="s">
        <v>8</v>
      </c>
      <c r="I3" s="154" t="s">
        <v>8</v>
      </c>
    </row>
    <row r="4" spans="1:9" ht="16.5" thickTop="1" thickBot="1">
      <c r="A4" s="154" t="s">
        <v>8</v>
      </c>
      <c r="B4" s="154" t="s">
        <v>14</v>
      </c>
      <c r="C4" s="154" t="s">
        <v>8</v>
      </c>
      <c r="D4" s="1691" t="s">
        <v>15</v>
      </c>
      <c r="E4" s="154" t="s">
        <v>16</v>
      </c>
      <c r="F4" s="1691" t="s">
        <v>561</v>
      </c>
      <c r="G4" s="154" t="s">
        <v>8</v>
      </c>
      <c r="H4" s="154" t="s">
        <v>8</v>
      </c>
      <c r="I4" s="154" t="s">
        <v>8</v>
      </c>
    </row>
    <row r="5" spans="1:9" ht="16.5" thickTop="1" thickBot="1">
      <c r="A5" s="154" t="s">
        <v>8</v>
      </c>
      <c r="B5" s="154" t="s">
        <v>8</v>
      </c>
      <c r="C5" s="154" t="s">
        <v>8</v>
      </c>
      <c r="D5" s="154" t="s">
        <v>8</v>
      </c>
      <c r="E5" s="154" t="s">
        <v>8</v>
      </c>
      <c r="F5" s="154" t="s">
        <v>8</v>
      </c>
      <c r="G5" s="154" t="s">
        <v>8</v>
      </c>
      <c r="H5" s="154" t="s">
        <v>8</v>
      </c>
      <c r="I5" s="154" t="s">
        <v>8</v>
      </c>
    </row>
    <row r="6" spans="1:9" ht="16.5" thickTop="1" thickBot="1">
      <c r="A6" s="154" t="s">
        <v>8</v>
      </c>
      <c r="B6" s="154" t="s">
        <v>18</v>
      </c>
      <c r="C6" s="154" t="s">
        <v>8</v>
      </c>
      <c r="D6" s="1691" t="s">
        <v>19</v>
      </c>
      <c r="E6" s="154" t="s">
        <v>20</v>
      </c>
      <c r="F6" s="1691" t="s">
        <v>562</v>
      </c>
      <c r="G6" s="154" t="s">
        <v>8</v>
      </c>
      <c r="H6" s="154" t="s">
        <v>8</v>
      </c>
      <c r="I6" s="154" t="s">
        <v>8</v>
      </c>
    </row>
    <row r="7" spans="1:9" ht="16.5" thickTop="1" thickBot="1">
      <c r="A7" s="154" t="s">
        <v>8</v>
      </c>
      <c r="B7" s="154" t="s">
        <v>8</v>
      </c>
      <c r="C7" s="154" t="s">
        <v>8</v>
      </c>
      <c r="D7" s="154" t="s">
        <v>8</v>
      </c>
      <c r="E7" s="154" t="s">
        <v>8</v>
      </c>
      <c r="F7" s="154" t="s">
        <v>8</v>
      </c>
      <c r="G7" s="154" t="s">
        <v>8</v>
      </c>
      <c r="H7" s="154" t="s">
        <v>8</v>
      </c>
      <c r="I7" s="154" t="s">
        <v>8</v>
      </c>
    </row>
    <row r="8" spans="1:9" ht="16.5" thickTop="1" thickBot="1">
      <c r="A8" s="154" t="s">
        <v>8</v>
      </c>
      <c r="B8" s="154" t="s">
        <v>22</v>
      </c>
      <c r="C8" s="154" t="s">
        <v>8</v>
      </c>
      <c r="D8" s="1691" t="s">
        <v>11</v>
      </c>
      <c r="E8" s="154" t="s">
        <v>23</v>
      </c>
      <c r="F8" s="1691" t="s">
        <v>563</v>
      </c>
      <c r="G8" s="154" t="s">
        <v>8</v>
      </c>
      <c r="H8" s="154" t="s">
        <v>8</v>
      </c>
      <c r="I8" s="154" t="s">
        <v>8</v>
      </c>
    </row>
    <row r="9" spans="1:9" ht="16.5" thickTop="1" thickBot="1">
      <c r="A9" s="154" t="s">
        <v>8</v>
      </c>
      <c r="B9" s="154" t="s">
        <v>8</v>
      </c>
      <c r="C9" s="154" t="s">
        <v>8</v>
      </c>
      <c r="D9" s="154" t="s">
        <v>8</v>
      </c>
      <c r="E9" s="154" t="s">
        <v>8</v>
      </c>
      <c r="F9" s="154" t="s">
        <v>8</v>
      </c>
      <c r="G9" s="154" t="s">
        <v>8</v>
      </c>
      <c r="H9" s="154" t="s">
        <v>8</v>
      </c>
      <c r="I9" s="154" t="s">
        <v>8</v>
      </c>
    </row>
    <row r="10" spans="1:9" ht="16.5" thickTop="1" thickBot="1">
      <c r="A10" s="154" t="s">
        <v>8</v>
      </c>
      <c r="B10" s="154" t="s">
        <v>25</v>
      </c>
      <c r="C10" s="154" t="s">
        <v>8</v>
      </c>
      <c r="D10" s="1691" t="s">
        <v>26</v>
      </c>
      <c r="E10" s="154" t="s">
        <v>8</v>
      </c>
      <c r="F10" s="154" t="s">
        <v>8</v>
      </c>
      <c r="G10" s="154" t="s">
        <v>8</v>
      </c>
      <c r="H10" s="154" t="s">
        <v>8</v>
      </c>
      <c r="I10" s="154" t="s">
        <v>8</v>
      </c>
    </row>
    <row r="11" spans="1:9" ht="16.5" thickTop="1" thickBot="1">
      <c r="A11" s="154" t="s">
        <v>8</v>
      </c>
      <c r="B11" s="154" t="s">
        <v>8</v>
      </c>
      <c r="C11" s="154" t="s">
        <v>8</v>
      </c>
      <c r="D11" s="154" t="s">
        <v>8</v>
      </c>
      <c r="E11" s="154" t="s">
        <v>8</v>
      </c>
      <c r="F11" s="154" t="s">
        <v>8</v>
      </c>
      <c r="G11" s="154" t="s">
        <v>8</v>
      </c>
      <c r="H11" s="154" t="s">
        <v>8</v>
      </c>
      <c r="I11" s="154" t="s">
        <v>8</v>
      </c>
    </row>
    <row r="12" spans="1:9" ht="16.5" thickTop="1" thickBot="1">
      <c r="A12" s="154" t="s">
        <v>8</v>
      </c>
      <c r="B12" s="1692" t="s">
        <v>8</v>
      </c>
      <c r="C12" s="1693" t="s">
        <v>8</v>
      </c>
      <c r="D12" s="1693" t="s">
        <v>8</v>
      </c>
      <c r="E12" s="1693" t="s">
        <v>8</v>
      </c>
      <c r="F12" s="1693" t="s">
        <v>8</v>
      </c>
      <c r="G12" s="1693" t="s">
        <v>8</v>
      </c>
      <c r="H12" s="1694" t="s">
        <v>8</v>
      </c>
      <c r="I12" s="154" t="s">
        <v>8</v>
      </c>
    </row>
    <row r="13" spans="1:9" ht="16.5" thickTop="1" thickBot="1">
      <c r="A13" s="154" t="s">
        <v>8</v>
      </c>
      <c r="B13" s="1695" t="s">
        <v>8</v>
      </c>
      <c r="C13" s="1690" t="s">
        <v>11</v>
      </c>
      <c r="D13" s="1696" t="s">
        <v>28</v>
      </c>
      <c r="E13" s="1705">
        <v>22326285.640000001</v>
      </c>
      <c r="F13" s="1696" t="s">
        <v>8</v>
      </c>
      <c r="G13" s="1696" t="s">
        <v>8</v>
      </c>
      <c r="H13" s="1697" t="s">
        <v>8</v>
      </c>
      <c r="I13" s="154" t="s">
        <v>29</v>
      </c>
    </row>
    <row r="14" spans="1:9" ht="16.5" thickTop="1" thickBot="1">
      <c r="A14" s="154" t="s">
        <v>8</v>
      </c>
      <c r="B14" s="154" t="s">
        <v>8</v>
      </c>
      <c r="C14" s="154" t="s">
        <v>8</v>
      </c>
      <c r="D14" s="154" t="s">
        <v>8</v>
      </c>
      <c r="E14" s="154" t="s">
        <v>8</v>
      </c>
      <c r="F14" s="154" t="s">
        <v>8</v>
      </c>
      <c r="G14" s="154" t="s">
        <v>8</v>
      </c>
      <c r="H14" s="154" t="s">
        <v>8</v>
      </c>
      <c r="I14" s="154" t="s">
        <v>8</v>
      </c>
    </row>
    <row r="15" spans="1:9" ht="16.5" thickTop="1" thickBot="1">
      <c r="A15" s="154" t="s">
        <v>8</v>
      </c>
      <c r="B15" s="1691" t="s">
        <v>30</v>
      </c>
      <c r="C15" s="1690" t="s">
        <v>31</v>
      </c>
      <c r="D15" s="1690" t="s">
        <v>32</v>
      </c>
      <c r="E15" s="1690" t="s">
        <v>33</v>
      </c>
      <c r="F15" s="1690" t="s">
        <v>34</v>
      </c>
      <c r="G15" s="1690" t="s">
        <v>35</v>
      </c>
      <c r="H15" s="1690" t="s">
        <v>36</v>
      </c>
      <c r="I15" s="154" t="s">
        <v>8</v>
      </c>
    </row>
    <row r="16" spans="1:9" ht="16.5" thickTop="1" thickBot="1">
      <c r="A16" s="154" t="s">
        <v>8</v>
      </c>
      <c r="B16" s="154" t="s">
        <v>8</v>
      </c>
      <c r="C16" s="154" t="s">
        <v>8</v>
      </c>
      <c r="D16" s="154" t="s">
        <v>8</v>
      </c>
      <c r="E16" s="154" t="s">
        <v>8</v>
      </c>
      <c r="F16" s="154" t="s">
        <v>8</v>
      </c>
      <c r="G16" s="154" t="s">
        <v>8</v>
      </c>
      <c r="H16" s="154" t="s">
        <v>8</v>
      </c>
      <c r="I16" s="154" t="s">
        <v>8</v>
      </c>
    </row>
    <row r="17" spans="1:9" ht="15.75" thickTop="1">
      <c r="A17" s="154" t="s">
        <v>8</v>
      </c>
      <c r="B17" s="1707" t="s">
        <v>8</v>
      </c>
      <c r="C17" s="1707" t="s">
        <v>8</v>
      </c>
      <c r="D17" s="1712" t="s">
        <v>508</v>
      </c>
      <c r="E17" s="1707" t="s">
        <v>8</v>
      </c>
      <c r="F17" s="1707" t="s">
        <v>8</v>
      </c>
      <c r="G17" s="1707" t="s">
        <v>8</v>
      </c>
      <c r="H17" s="1694" t="s">
        <v>8</v>
      </c>
      <c r="I17" s="154" t="s">
        <v>8</v>
      </c>
    </row>
    <row r="18" spans="1:9">
      <c r="A18" s="154" t="s">
        <v>8</v>
      </c>
      <c r="B18" s="1708">
        <v>1</v>
      </c>
      <c r="C18" s="1710" t="s">
        <v>48</v>
      </c>
      <c r="D18" s="1710" t="s">
        <v>564</v>
      </c>
      <c r="E18" s="1714">
        <v>4500</v>
      </c>
      <c r="F18" s="1710" t="s">
        <v>335</v>
      </c>
      <c r="G18" s="1716">
        <v>1</v>
      </c>
      <c r="H18" s="1702" t="s">
        <v>41</v>
      </c>
      <c r="I18" s="154" t="s">
        <v>8</v>
      </c>
    </row>
    <row r="19" spans="1:9">
      <c r="A19" s="154" t="s">
        <v>8</v>
      </c>
      <c r="B19" s="1708">
        <v>2</v>
      </c>
      <c r="C19" s="1710" t="s">
        <v>48</v>
      </c>
      <c r="D19" s="1710" t="s">
        <v>565</v>
      </c>
      <c r="E19" s="1714">
        <v>6805.56</v>
      </c>
      <c r="F19" s="1710" t="s">
        <v>565</v>
      </c>
      <c r="G19" s="1716">
        <v>1</v>
      </c>
      <c r="H19" s="1702" t="s">
        <v>41</v>
      </c>
      <c r="I19" s="154" t="s">
        <v>8</v>
      </c>
    </row>
    <row r="20" spans="1:9">
      <c r="A20" s="154" t="s">
        <v>8</v>
      </c>
      <c r="B20" s="1708">
        <v>3</v>
      </c>
      <c r="C20" s="1710" t="s">
        <v>48</v>
      </c>
      <c r="D20" s="1710" t="s">
        <v>566</v>
      </c>
      <c r="E20" s="1714">
        <v>17000</v>
      </c>
      <c r="F20" s="1710" t="s">
        <v>337</v>
      </c>
      <c r="G20" s="1716">
        <v>1</v>
      </c>
      <c r="H20" s="1702" t="s">
        <v>41</v>
      </c>
      <c r="I20" s="154" t="s">
        <v>8</v>
      </c>
    </row>
    <row r="21" spans="1:9">
      <c r="A21" s="154" t="s">
        <v>8</v>
      </c>
      <c r="B21" s="1708">
        <v>4</v>
      </c>
      <c r="C21" s="1710" t="s">
        <v>27</v>
      </c>
      <c r="D21" s="1710" t="s">
        <v>372</v>
      </c>
      <c r="E21" s="1714">
        <v>6</v>
      </c>
      <c r="F21" s="1710" t="s">
        <v>373</v>
      </c>
      <c r="G21" s="1716">
        <v>0</v>
      </c>
      <c r="H21" s="1702" t="s">
        <v>41</v>
      </c>
      <c r="I21" s="154" t="s">
        <v>8</v>
      </c>
    </row>
    <row r="22" spans="1:9">
      <c r="A22" s="154" t="s">
        <v>8</v>
      </c>
      <c r="B22" s="1708">
        <v>5</v>
      </c>
      <c r="C22" s="1710" t="s">
        <v>27</v>
      </c>
      <c r="D22" s="1710" t="s">
        <v>567</v>
      </c>
      <c r="E22" s="1714">
        <v>798.85</v>
      </c>
      <c r="F22" s="1710" t="s">
        <v>568</v>
      </c>
      <c r="G22" s="1716">
        <v>0</v>
      </c>
      <c r="H22" s="1702" t="s">
        <v>41</v>
      </c>
      <c r="I22" s="154" t="s">
        <v>8</v>
      </c>
    </row>
    <row r="23" spans="1:9">
      <c r="A23" s="154" t="s">
        <v>8</v>
      </c>
      <c r="B23" s="1708">
        <v>6</v>
      </c>
      <c r="C23" s="1710" t="s">
        <v>27</v>
      </c>
      <c r="D23" s="1710" t="s">
        <v>569</v>
      </c>
      <c r="E23" s="1714">
        <v>1569.2</v>
      </c>
      <c r="F23" s="1710" t="s">
        <v>570</v>
      </c>
      <c r="G23" s="1716">
        <v>0</v>
      </c>
      <c r="H23" s="1702" t="s">
        <v>41</v>
      </c>
      <c r="I23" s="154" t="s">
        <v>8</v>
      </c>
    </row>
    <row r="24" spans="1:9">
      <c r="A24" s="154" t="s">
        <v>8</v>
      </c>
      <c r="B24" s="1708">
        <v>7</v>
      </c>
      <c r="C24" s="1710" t="s">
        <v>27</v>
      </c>
      <c r="D24" s="1710" t="s">
        <v>571</v>
      </c>
      <c r="E24" s="1714">
        <v>260000</v>
      </c>
      <c r="F24" s="1710" t="s">
        <v>572</v>
      </c>
      <c r="G24" s="1716">
        <v>0</v>
      </c>
      <c r="H24" s="1702" t="s">
        <v>41</v>
      </c>
      <c r="I24" s="154" t="s">
        <v>8</v>
      </c>
    </row>
    <row r="25" spans="1:9">
      <c r="A25" s="154" t="s">
        <v>8</v>
      </c>
      <c r="B25" s="1708">
        <v>8</v>
      </c>
      <c r="C25" s="1710" t="s">
        <v>27</v>
      </c>
      <c r="D25" s="1710" t="s">
        <v>573</v>
      </c>
      <c r="E25" s="1714">
        <v>5000000</v>
      </c>
      <c r="F25" s="1710" t="s">
        <v>574</v>
      </c>
      <c r="G25" s="1716">
        <v>0</v>
      </c>
      <c r="H25" s="1702" t="s">
        <v>41</v>
      </c>
      <c r="I25" s="154" t="s">
        <v>8</v>
      </c>
    </row>
    <row r="26" spans="1:9">
      <c r="A26" s="154" t="s">
        <v>8</v>
      </c>
      <c r="B26" s="1708" t="s">
        <v>8</v>
      </c>
      <c r="C26" s="1710" t="s">
        <v>8</v>
      </c>
      <c r="D26" s="1710" t="s">
        <v>8</v>
      </c>
      <c r="E26" s="1714" t="s">
        <v>8</v>
      </c>
      <c r="F26" s="1710" t="s">
        <v>8</v>
      </c>
      <c r="G26" s="1716" t="s">
        <v>8</v>
      </c>
      <c r="H26" s="1702" t="s">
        <v>8</v>
      </c>
      <c r="I26" s="154" t="s">
        <v>8</v>
      </c>
    </row>
    <row r="27" spans="1:9" ht="15.75" thickBot="1">
      <c r="A27" s="154" t="s">
        <v>8</v>
      </c>
      <c r="B27" s="1709" t="s">
        <v>8</v>
      </c>
      <c r="C27" s="1711" t="s">
        <v>8</v>
      </c>
      <c r="D27" s="1713" t="s">
        <v>51</v>
      </c>
      <c r="E27" s="1715">
        <f>SUM($E$18:$E$26)</f>
        <v>5290679.6100000003</v>
      </c>
      <c r="F27" s="1711" t="s">
        <v>8</v>
      </c>
      <c r="G27" s="1717" t="s">
        <v>8</v>
      </c>
      <c r="H27" s="1697" t="s">
        <v>8</v>
      </c>
      <c r="I27" s="154" t="s">
        <v>8</v>
      </c>
    </row>
    <row r="28" spans="1:9" ht="15.75" thickTop="1">
      <c r="A28" s="154" t="s">
        <v>8</v>
      </c>
      <c r="B28" s="1699" t="s">
        <v>8</v>
      </c>
      <c r="C28" s="154" t="s">
        <v>8</v>
      </c>
      <c r="D28" s="154" t="s">
        <v>8</v>
      </c>
      <c r="E28" s="155" t="s">
        <v>8</v>
      </c>
      <c r="F28" s="154" t="s">
        <v>8</v>
      </c>
      <c r="G28" s="1698" t="s">
        <v>8</v>
      </c>
      <c r="H28" s="154" t="s">
        <v>8</v>
      </c>
      <c r="I28" s="154" t="s">
        <v>8</v>
      </c>
    </row>
    <row r="29" spans="1:9" ht="15.75" thickBot="1">
      <c r="A29" s="154" t="s">
        <v>8</v>
      </c>
      <c r="B29" s="1699" t="s">
        <v>8</v>
      </c>
      <c r="C29" s="154" t="s">
        <v>8</v>
      </c>
      <c r="D29" s="154" t="s">
        <v>8</v>
      </c>
      <c r="E29" s="155" t="s">
        <v>8</v>
      </c>
      <c r="F29" s="154" t="s">
        <v>8</v>
      </c>
      <c r="G29" s="1698" t="s">
        <v>8</v>
      </c>
      <c r="H29" s="154" t="s">
        <v>8</v>
      </c>
      <c r="I29" s="154" t="s">
        <v>8</v>
      </c>
    </row>
    <row r="30" spans="1:9" ht="15.75" thickTop="1">
      <c r="A30" s="154" t="s">
        <v>8</v>
      </c>
      <c r="B30" s="1721" t="s">
        <v>8</v>
      </c>
      <c r="C30" s="1707" t="s">
        <v>8</v>
      </c>
      <c r="D30" s="1712" t="s">
        <v>509</v>
      </c>
      <c r="E30" s="1722" t="s">
        <v>8</v>
      </c>
      <c r="F30" s="1707" t="s">
        <v>8</v>
      </c>
      <c r="G30" s="1723" t="s">
        <v>8</v>
      </c>
      <c r="H30" s="1694" t="s">
        <v>8</v>
      </c>
      <c r="I30" s="154" t="s">
        <v>8</v>
      </c>
    </row>
    <row r="31" spans="1:9">
      <c r="A31" s="154" t="s">
        <v>8</v>
      </c>
      <c r="B31" s="1708">
        <v>1</v>
      </c>
      <c r="C31" s="1710" t="s">
        <v>141</v>
      </c>
      <c r="D31" s="1710" t="s">
        <v>575</v>
      </c>
      <c r="E31" s="1714">
        <v>35</v>
      </c>
      <c r="F31" s="1710" t="s">
        <v>576</v>
      </c>
      <c r="G31" s="1716">
        <v>7</v>
      </c>
      <c r="H31" s="1702" t="s">
        <v>55</v>
      </c>
      <c r="I31" s="154" t="s">
        <v>8</v>
      </c>
    </row>
    <row r="32" spans="1:9">
      <c r="A32" s="154" t="s">
        <v>8</v>
      </c>
      <c r="B32" s="1708">
        <v>2</v>
      </c>
      <c r="C32" s="1710" t="s">
        <v>141</v>
      </c>
      <c r="D32" s="1710" t="s">
        <v>577</v>
      </c>
      <c r="E32" s="1714">
        <v>35</v>
      </c>
      <c r="F32" s="1710" t="s">
        <v>578</v>
      </c>
      <c r="G32" s="1716">
        <v>7</v>
      </c>
      <c r="H32" s="1702" t="s">
        <v>55</v>
      </c>
      <c r="I32" s="154" t="s">
        <v>8</v>
      </c>
    </row>
    <row r="33" spans="1:9">
      <c r="A33" s="154" t="s">
        <v>8</v>
      </c>
      <c r="B33" s="1708">
        <v>3</v>
      </c>
      <c r="C33" s="1710" t="s">
        <v>141</v>
      </c>
      <c r="D33" s="1710" t="s">
        <v>579</v>
      </c>
      <c r="E33" s="1714">
        <v>35</v>
      </c>
      <c r="F33" s="1710" t="s">
        <v>580</v>
      </c>
      <c r="G33" s="1716">
        <v>7</v>
      </c>
      <c r="H33" s="1702" t="s">
        <v>55</v>
      </c>
      <c r="I33" s="154" t="s">
        <v>8</v>
      </c>
    </row>
    <row r="34" spans="1:9">
      <c r="A34" s="154" t="s">
        <v>8</v>
      </c>
      <c r="B34" s="1708">
        <v>4</v>
      </c>
      <c r="C34" s="1710" t="s">
        <v>141</v>
      </c>
      <c r="D34" s="1710" t="s">
        <v>581</v>
      </c>
      <c r="E34" s="1714">
        <v>35</v>
      </c>
      <c r="F34" s="1710" t="s">
        <v>582</v>
      </c>
      <c r="G34" s="1716">
        <v>7</v>
      </c>
      <c r="H34" s="1702" t="s">
        <v>55</v>
      </c>
      <c r="I34" s="154" t="s">
        <v>8</v>
      </c>
    </row>
    <row r="35" spans="1:9">
      <c r="A35" s="154" t="s">
        <v>8</v>
      </c>
      <c r="B35" s="1708">
        <v>5</v>
      </c>
      <c r="C35" s="1710" t="s">
        <v>141</v>
      </c>
      <c r="D35" s="1710" t="s">
        <v>583</v>
      </c>
      <c r="E35" s="1714">
        <v>35</v>
      </c>
      <c r="F35" s="1710" t="s">
        <v>584</v>
      </c>
      <c r="G35" s="1716">
        <v>7</v>
      </c>
      <c r="H35" s="1702" t="s">
        <v>55</v>
      </c>
      <c r="I35" s="154" t="s">
        <v>8</v>
      </c>
    </row>
    <row r="36" spans="1:9">
      <c r="A36" s="154" t="s">
        <v>8</v>
      </c>
      <c r="B36" s="1708">
        <v>6</v>
      </c>
      <c r="C36" s="1710" t="s">
        <v>141</v>
      </c>
      <c r="D36" s="1710" t="s">
        <v>585</v>
      </c>
      <c r="E36" s="1714">
        <v>35</v>
      </c>
      <c r="F36" s="1710" t="s">
        <v>586</v>
      </c>
      <c r="G36" s="1716">
        <v>7</v>
      </c>
      <c r="H36" s="1702" t="s">
        <v>55</v>
      </c>
      <c r="I36" s="154" t="s">
        <v>8</v>
      </c>
    </row>
    <row r="37" spans="1:9">
      <c r="A37" s="154" t="s">
        <v>8</v>
      </c>
      <c r="B37" s="1708">
        <v>7</v>
      </c>
      <c r="C37" s="1710" t="s">
        <v>141</v>
      </c>
      <c r="D37" s="1710" t="s">
        <v>587</v>
      </c>
      <c r="E37" s="1714">
        <v>35</v>
      </c>
      <c r="F37" s="1710" t="s">
        <v>588</v>
      </c>
      <c r="G37" s="1716">
        <v>7</v>
      </c>
      <c r="H37" s="1702" t="s">
        <v>55</v>
      </c>
      <c r="I37" s="154" t="s">
        <v>8</v>
      </c>
    </row>
    <row r="38" spans="1:9">
      <c r="A38" s="154" t="s">
        <v>8</v>
      </c>
      <c r="B38" s="1708">
        <v>8</v>
      </c>
      <c r="C38" s="1710" t="s">
        <v>141</v>
      </c>
      <c r="D38" s="1710" t="s">
        <v>589</v>
      </c>
      <c r="E38" s="1714">
        <v>35</v>
      </c>
      <c r="F38" s="1710" t="s">
        <v>590</v>
      </c>
      <c r="G38" s="1716">
        <v>7</v>
      </c>
      <c r="H38" s="1702" t="s">
        <v>55</v>
      </c>
      <c r="I38" s="154" t="s">
        <v>8</v>
      </c>
    </row>
    <row r="39" spans="1:9">
      <c r="A39" s="154" t="s">
        <v>8</v>
      </c>
      <c r="B39" s="1708">
        <v>9</v>
      </c>
      <c r="C39" s="1710" t="s">
        <v>141</v>
      </c>
      <c r="D39" s="1710" t="s">
        <v>591</v>
      </c>
      <c r="E39" s="1714">
        <v>35</v>
      </c>
      <c r="F39" s="1710" t="s">
        <v>592</v>
      </c>
      <c r="G39" s="1716">
        <v>7</v>
      </c>
      <c r="H39" s="1702" t="s">
        <v>55</v>
      </c>
      <c r="I39" s="154" t="s">
        <v>8</v>
      </c>
    </row>
    <row r="40" spans="1:9">
      <c r="A40" s="154" t="s">
        <v>8</v>
      </c>
      <c r="B40" s="1708">
        <v>10</v>
      </c>
      <c r="C40" s="1710" t="s">
        <v>141</v>
      </c>
      <c r="D40" s="1710" t="s">
        <v>593</v>
      </c>
      <c r="E40" s="1714">
        <v>35</v>
      </c>
      <c r="F40" s="1710" t="s">
        <v>594</v>
      </c>
      <c r="G40" s="1716">
        <v>7</v>
      </c>
      <c r="H40" s="1702" t="s">
        <v>55</v>
      </c>
      <c r="I40" s="154" t="s">
        <v>8</v>
      </c>
    </row>
    <row r="41" spans="1:9">
      <c r="A41" s="154" t="s">
        <v>8</v>
      </c>
      <c r="B41" s="1708">
        <v>11</v>
      </c>
      <c r="C41" s="1710" t="s">
        <v>141</v>
      </c>
      <c r="D41" s="1710" t="s">
        <v>595</v>
      </c>
      <c r="E41" s="1714">
        <v>35</v>
      </c>
      <c r="F41" s="1710" t="s">
        <v>596</v>
      </c>
      <c r="G41" s="1716">
        <v>7</v>
      </c>
      <c r="H41" s="1702" t="s">
        <v>55</v>
      </c>
      <c r="I41" s="154" t="s">
        <v>8</v>
      </c>
    </row>
    <row r="42" spans="1:9">
      <c r="A42" s="154" t="s">
        <v>8</v>
      </c>
      <c r="B42" s="1708">
        <v>12</v>
      </c>
      <c r="C42" s="1710" t="s">
        <v>141</v>
      </c>
      <c r="D42" s="1710" t="s">
        <v>597</v>
      </c>
      <c r="E42" s="1714">
        <v>35</v>
      </c>
      <c r="F42" s="1710" t="s">
        <v>598</v>
      </c>
      <c r="G42" s="1716">
        <v>7</v>
      </c>
      <c r="H42" s="1702" t="s">
        <v>55</v>
      </c>
      <c r="I42" s="154" t="s">
        <v>8</v>
      </c>
    </row>
    <row r="43" spans="1:9">
      <c r="A43" s="154" t="s">
        <v>8</v>
      </c>
      <c r="B43" s="1708">
        <v>13</v>
      </c>
      <c r="C43" s="1710" t="s">
        <v>141</v>
      </c>
      <c r="D43" s="1710" t="s">
        <v>599</v>
      </c>
      <c r="E43" s="1714">
        <v>35</v>
      </c>
      <c r="F43" s="1710" t="s">
        <v>600</v>
      </c>
      <c r="G43" s="1716">
        <v>7</v>
      </c>
      <c r="H43" s="1702" t="s">
        <v>55</v>
      </c>
      <c r="I43" s="154" t="s">
        <v>8</v>
      </c>
    </row>
    <row r="44" spans="1:9">
      <c r="A44" s="154" t="s">
        <v>8</v>
      </c>
      <c r="B44" s="1708">
        <v>14</v>
      </c>
      <c r="C44" s="1710" t="s">
        <v>141</v>
      </c>
      <c r="D44" s="1710" t="s">
        <v>601</v>
      </c>
      <c r="E44" s="1714">
        <v>35</v>
      </c>
      <c r="F44" s="1710" t="s">
        <v>602</v>
      </c>
      <c r="G44" s="1716">
        <v>7</v>
      </c>
      <c r="H44" s="1702" t="s">
        <v>55</v>
      </c>
      <c r="I44" s="154" t="s">
        <v>8</v>
      </c>
    </row>
    <row r="45" spans="1:9">
      <c r="A45" s="154" t="s">
        <v>8</v>
      </c>
      <c r="B45" s="1708">
        <v>15</v>
      </c>
      <c r="C45" s="1710" t="s">
        <v>141</v>
      </c>
      <c r="D45" s="1710" t="s">
        <v>603</v>
      </c>
      <c r="E45" s="1714">
        <v>35</v>
      </c>
      <c r="F45" s="1710" t="s">
        <v>604</v>
      </c>
      <c r="G45" s="1716">
        <v>7</v>
      </c>
      <c r="H45" s="1702" t="s">
        <v>55</v>
      </c>
      <c r="I45" s="154" t="s">
        <v>8</v>
      </c>
    </row>
    <row r="46" spans="1:9">
      <c r="A46" s="154" t="s">
        <v>8</v>
      </c>
      <c r="B46" s="1708">
        <v>16</v>
      </c>
      <c r="C46" s="1710" t="s">
        <v>141</v>
      </c>
      <c r="D46" s="1710" t="s">
        <v>605</v>
      </c>
      <c r="E46" s="1714">
        <v>35</v>
      </c>
      <c r="F46" s="1710" t="s">
        <v>606</v>
      </c>
      <c r="G46" s="1716">
        <v>7</v>
      </c>
      <c r="H46" s="1702" t="s">
        <v>55</v>
      </c>
      <c r="I46" s="154" t="s">
        <v>8</v>
      </c>
    </row>
    <row r="47" spans="1:9">
      <c r="A47" s="154" t="s">
        <v>8</v>
      </c>
      <c r="B47" s="1708">
        <v>17</v>
      </c>
      <c r="C47" s="1710" t="s">
        <v>141</v>
      </c>
      <c r="D47" s="1710" t="s">
        <v>607</v>
      </c>
      <c r="E47" s="1714">
        <v>35</v>
      </c>
      <c r="F47" s="1710" t="s">
        <v>608</v>
      </c>
      <c r="G47" s="1716">
        <v>7</v>
      </c>
      <c r="H47" s="1702" t="s">
        <v>55</v>
      </c>
      <c r="I47" s="154" t="s">
        <v>8</v>
      </c>
    </row>
    <row r="48" spans="1:9">
      <c r="A48" s="154" t="s">
        <v>8</v>
      </c>
      <c r="B48" s="1708">
        <v>18</v>
      </c>
      <c r="C48" s="1710" t="s">
        <v>141</v>
      </c>
      <c r="D48" s="1710" t="s">
        <v>609</v>
      </c>
      <c r="E48" s="1714">
        <v>35</v>
      </c>
      <c r="F48" s="1710" t="s">
        <v>610</v>
      </c>
      <c r="G48" s="1716">
        <v>7</v>
      </c>
      <c r="H48" s="1702" t="s">
        <v>55</v>
      </c>
      <c r="I48" s="154" t="s">
        <v>8</v>
      </c>
    </row>
    <row r="49" spans="1:9">
      <c r="A49" s="154" t="s">
        <v>8</v>
      </c>
      <c r="B49" s="1708">
        <v>19</v>
      </c>
      <c r="C49" s="1710" t="s">
        <v>141</v>
      </c>
      <c r="D49" s="1710" t="s">
        <v>611</v>
      </c>
      <c r="E49" s="1714">
        <v>35</v>
      </c>
      <c r="F49" s="1710" t="s">
        <v>612</v>
      </c>
      <c r="G49" s="1716">
        <v>7</v>
      </c>
      <c r="H49" s="1702" t="s">
        <v>55</v>
      </c>
      <c r="I49" s="154" t="s">
        <v>8</v>
      </c>
    </row>
    <row r="50" spans="1:9">
      <c r="A50" s="154" t="s">
        <v>8</v>
      </c>
      <c r="B50" s="1708">
        <v>20</v>
      </c>
      <c r="C50" s="1710" t="s">
        <v>141</v>
      </c>
      <c r="D50" s="1710" t="s">
        <v>613</v>
      </c>
      <c r="E50" s="1714">
        <v>35</v>
      </c>
      <c r="F50" s="1710" t="s">
        <v>614</v>
      </c>
      <c r="G50" s="1716">
        <v>7</v>
      </c>
      <c r="H50" s="1702" t="s">
        <v>55</v>
      </c>
      <c r="I50" s="154" t="s">
        <v>8</v>
      </c>
    </row>
    <row r="51" spans="1:9">
      <c r="A51" s="154" t="s">
        <v>8</v>
      </c>
      <c r="B51" s="1708">
        <v>21</v>
      </c>
      <c r="C51" s="1710" t="s">
        <v>190</v>
      </c>
      <c r="D51" s="1710" t="s">
        <v>615</v>
      </c>
      <c r="E51" s="1714">
        <v>35</v>
      </c>
      <c r="F51" s="1710" t="s">
        <v>616</v>
      </c>
      <c r="G51" s="1716">
        <v>6</v>
      </c>
      <c r="H51" s="1702" t="s">
        <v>55</v>
      </c>
      <c r="I51" s="154" t="s">
        <v>8</v>
      </c>
    </row>
    <row r="52" spans="1:9">
      <c r="A52" s="154" t="s">
        <v>8</v>
      </c>
      <c r="B52" s="1708">
        <v>22</v>
      </c>
      <c r="C52" s="1710" t="s">
        <v>190</v>
      </c>
      <c r="D52" s="1710" t="s">
        <v>617</v>
      </c>
      <c r="E52" s="1714">
        <v>35</v>
      </c>
      <c r="F52" s="1710" t="s">
        <v>618</v>
      </c>
      <c r="G52" s="1716">
        <v>6</v>
      </c>
      <c r="H52" s="1702" t="s">
        <v>55</v>
      </c>
      <c r="I52" s="154" t="s">
        <v>8</v>
      </c>
    </row>
    <row r="53" spans="1:9">
      <c r="A53" s="154" t="s">
        <v>8</v>
      </c>
      <c r="B53" s="1708">
        <v>23</v>
      </c>
      <c r="C53" s="1710" t="s">
        <v>190</v>
      </c>
      <c r="D53" s="1710" t="s">
        <v>619</v>
      </c>
      <c r="E53" s="1714">
        <v>35</v>
      </c>
      <c r="F53" s="1710" t="s">
        <v>620</v>
      </c>
      <c r="G53" s="1716">
        <v>6</v>
      </c>
      <c r="H53" s="1702" t="s">
        <v>55</v>
      </c>
      <c r="I53" s="154" t="s">
        <v>8</v>
      </c>
    </row>
    <row r="54" spans="1:9">
      <c r="A54" s="154" t="s">
        <v>8</v>
      </c>
      <c r="B54" s="1708">
        <v>24</v>
      </c>
      <c r="C54" s="1710" t="s">
        <v>190</v>
      </c>
      <c r="D54" s="1710" t="s">
        <v>621</v>
      </c>
      <c r="E54" s="1714">
        <v>35</v>
      </c>
      <c r="F54" s="1710" t="s">
        <v>622</v>
      </c>
      <c r="G54" s="1716">
        <v>6</v>
      </c>
      <c r="H54" s="1702" t="s">
        <v>55</v>
      </c>
      <c r="I54" s="154" t="s">
        <v>8</v>
      </c>
    </row>
    <row r="55" spans="1:9">
      <c r="A55" s="154" t="s">
        <v>8</v>
      </c>
      <c r="B55" s="1708">
        <v>25</v>
      </c>
      <c r="C55" s="1710" t="s">
        <v>190</v>
      </c>
      <c r="D55" s="1710" t="s">
        <v>623</v>
      </c>
      <c r="E55" s="1714">
        <v>35</v>
      </c>
      <c r="F55" s="1710" t="s">
        <v>624</v>
      </c>
      <c r="G55" s="1716">
        <v>6</v>
      </c>
      <c r="H55" s="1702" t="s">
        <v>55</v>
      </c>
      <c r="I55" s="154" t="s">
        <v>8</v>
      </c>
    </row>
    <row r="56" spans="1:9">
      <c r="A56" s="154" t="s">
        <v>8</v>
      </c>
      <c r="B56" s="1708">
        <v>26</v>
      </c>
      <c r="C56" s="1710" t="s">
        <v>190</v>
      </c>
      <c r="D56" s="1710" t="s">
        <v>625</v>
      </c>
      <c r="E56" s="1714">
        <v>35</v>
      </c>
      <c r="F56" s="1710" t="s">
        <v>626</v>
      </c>
      <c r="G56" s="1716">
        <v>6</v>
      </c>
      <c r="H56" s="1702" t="s">
        <v>55</v>
      </c>
      <c r="I56" s="154" t="s">
        <v>8</v>
      </c>
    </row>
    <row r="57" spans="1:9">
      <c r="A57" s="154" t="s">
        <v>8</v>
      </c>
      <c r="B57" s="1708">
        <v>27</v>
      </c>
      <c r="C57" s="1710" t="s">
        <v>190</v>
      </c>
      <c r="D57" s="1710" t="s">
        <v>627</v>
      </c>
      <c r="E57" s="1714">
        <v>35</v>
      </c>
      <c r="F57" s="1710" t="s">
        <v>628</v>
      </c>
      <c r="G57" s="1716">
        <v>6</v>
      </c>
      <c r="H57" s="1702" t="s">
        <v>55</v>
      </c>
      <c r="I57" s="154" t="s">
        <v>8</v>
      </c>
    </row>
    <row r="58" spans="1:9">
      <c r="A58" s="154" t="s">
        <v>8</v>
      </c>
      <c r="B58" s="1708">
        <v>28</v>
      </c>
      <c r="C58" s="1710" t="s">
        <v>190</v>
      </c>
      <c r="D58" s="1710" t="s">
        <v>629</v>
      </c>
      <c r="E58" s="1714">
        <v>35</v>
      </c>
      <c r="F58" s="1710" t="s">
        <v>630</v>
      </c>
      <c r="G58" s="1716">
        <v>6</v>
      </c>
      <c r="H58" s="1702" t="s">
        <v>55</v>
      </c>
      <c r="I58" s="154" t="s">
        <v>8</v>
      </c>
    </row>
    <row r="59" spans="1:9">
      <c r="A59" s="154" t="s">
        <v>8</v>
      </c>
      <c r="B59" s="1708">
        <v>29</v>
      </c>
      <c r="C59" s="1710" t="s">
        <v>190</v>
      </c>
      <c r="D59" s="1710" t="s">
        <v>631</v>
      </c>
      <c r="E59" s="1714">
        <v>35</v>
      </c>
      <c r="F59" s="1710" t="s">
        <v>632</v>
      </c>
      <c r="G59" s="1716">
        <v>6</v>
      </c>
      <c r="H59" s="1702" t="s">
        <v>55</v>
      </c>
      <c r="I59" s="154" t="s">
        <v>8</v>
      </c>
    </row>
    <row r="60" spans="1:9">
      <c r="A60" s="154" t="s">
        <v>8</v>
      </c>
      <c r="B60" s="1708">
        <v>30</v>
      </c>
      <c r="C60" s="1710" t="s">
        <v>190</v>
      </c>
      <c r="D60" s="1710" t="s">
        <v>633</v>
      </c>
      <c r="E60" s="1714">
        <v>35</v>
      </c>
      <c r="F60" s="1710" t="s">
        <v>634</v>
      </c>
      <c r="G60" s="1716">
        <v>6</v>
      </c>
      <c r="H60" s="1702" t="s">
        <v>55</v>
      </c>
      <c r="I60" s="154" t="s">
        <v>8</v>
      </c>
    </row>
    <row r="61" spans="1:9">
      <c r="A61" s="154" t="s">
        <v>8</v>
      </c>
      <c r="B61" s="1708">
        <v>31</v>
      </c>
      <c r="C61" s="1710" t="s">
        <v>190</v>
      </c>
      <c r="D61" s="1710" t="s">
        <v>635</v>
      </c>
      <c r="E61" s="1714">
        <v>35</v>
      </c>
      <c r="F61" s="1710" t="s">
        <v>636</v>
      </c>
      <c r="G61" s="1716">
        <v>6</v>
      </c>
      <c r="H61" s="1702" t="s">
        <v>55</v>
      </c>
      <c r="I61" s="154" t="s">
        <v>8</v>
      </c>
    </row>
    <row r="62" spans="1:9">
      <c r="A62" s="154" t="s">
        <v>8</v>
      </c>
      <c r="B62" s="1708">
        <v>32</v>
      </c>
      <c r="C62" s="1710" t="s">
        <v>190</v>
      </c>
      <c r="D62" s="1710" t="s">
        <v>637</v>
      </c>
      <c r="E62" s="1714">
        <v>35</v>
      </c>
      <c r="F62" s="1710" t="s">
        <v>638</v>
      </c>
      <c r="G62" s="1716">
        <v>6</v>
      </c>
      <c r="H62" s="1702" t="s">
        <v>55</v>
      </c>
      <c r="I62" s="154" t="s">
        <v>8</v>
      </c>
    </row>
    <row r="63" spans="1:9">
      <c r="A63" s="154" t="s">
        <v>8</v>
      </c>
      <c r="B63" s="1708">
        <v>33</v>
      </c>
      <c r="C63" s="1710" t="s">
        <v>190</v>
      </c>
      <c r="D63" s="1710" t="s">
        <v>639</v>
      </c>
      <c r="E63" s="1714">
        <v>35</v>
      </c>
      <c r="F63" s="1710" t="s">
        <v>640</v>
      </c>
      <c r="G63" s="1716">
        <v>6</v>
      </c>
      <c r="H63" s="1702" t="s">
        <v>55</v>
      </c>
      <c r="I63" s="154" t="s">
        <v>8</v>
      </c>
    </row>
    <row r="64" spans="1:9">
      <c r="A64" s="154" t="s">
        <v>8</v>
      </c>
      <c r="B64" s="1708">
        <v>34</v>
      </c>
      <c r="C64" s="1710" t="s">
        <v>190</v>
      </c>
      <c r="D64" s="1710" t="s">
        <v>641</v>
      </c>
      <c r="E64" s="1714">
        <v>35</v>
      </c>
      <c r="F64" s="1710" t="s">
        <v>642</v>
      </c>
      <c r="G64" s="1716">
        <v>6</v>
      </c>
      <c r="H64" s="1702" t="s">
        <v>55</v>
      </c>
      <c r="I64" s="154" t="s">
        <v>8</v>
      </c>
    </row>
    <row r="65" spans="1:9">
      <c r="A65" s="154" t="s">
        <v>8</v>
      </c>
      <c r="B65" s="1708">
        <v>35</v>
      </c>
      <c r="C65" s="1710" t="s">
        <v>190</v>
      </c>
      <c r="D65" s="1710" t="s">
        <v>643</v>
      </c>
      <c r="E65" s="1714">
        <v>35</v>
      </c>
      <c r="F65" s="1710" t="s">
        <v>644</v>
      </c>
      <c r="G65" s="1716">
        <v>6</v>
      </c>
      <c r="H65" s="1702" t="s">
        <v>55</v>
      </c>
      <c r="I65" s="154" t="s">
        <v>8</v>
      </c>
    </row>
    <row r="66" spans="1:9">
      <c r="A66" s="154" t="s">
        <v>8</v>
      </c>
      <c r="B66" s="1708">
        <v>36</v>
      </c>
      <c r="C66" s="1710" t="s">
        <v>190</v>
      </c>
      <c r="D66" s="1710" t="s">
        <v>645</v>
      </c>
      <c r="E66" s="1714">
        <v>35</v>
      </c>
      <c r="F66" s="1710" t="s">
        <v>646</v>
      </c>
      <c r="G66" s="1716">
        <v>6</v>
      </c>
      <c r="H66" s="1702" t="s">
        <v>55</v>
      </c>
      <c r="I66" s="154" t="s">
        <v>8</v>
      </c>
    </row>
    <row r="67" spans="1:9">
      <c r="A67" s="154" t="s">
        <v>8</v>
      </c>
      <c r="B67" s="1708">
        <v>37</v>
      </c>
      <c r="C67" s="1710" t="s">
        <v>190</v>
      </c>
      <c r="D67" s="1710" t="s">
        <v>647</v>
      </c>
      <c r="E67" s="1714">
        <v>35</v>
      </c>
      <c r="F67" s="1710" t="s">
        <v>648</v>
      </c>
      <c r="G67" s="1716">
        <v>6</v>
      </c>
      <c r="H67" s="1702" t="s">
        <v>55</v>
      </c>
      <c r="I67" s="154" t="s">
        <v>8</v>
      </c>
    </row>
    <row r="68" spans="1:9">
      <c r="A68" s="154" t="s">
        <v>8</v>
      </c>
      <c r="B68" s="1708">
        <v>38</v>
      </c>
      <c r="C68" s="1710" t="s">
        <v>190</v>
      </c>
      <c r="D68" s="1710" t="s">
        <v>649</v>
      </c>
      <c r="E68" s="1714">
        <v>35</v>
      </c>
      <c r="F68" s="1710" t="s">
        <v>650</v>
      </c>
      <c r="G68" s="1716">
        <v>6</v>
      </c>
      <c r="H68" s="1702" t="s">
        <v>55</v>
      </c>
      <c r="I68" s="154" t="s">
        <v>8</v>
      </c>
    </row>
    <row r="69" spans="1:9">
      <c r="A69" s="154" t="s">
        <v>8</v>
      </c>
      <c r="B69" s="1708">
        <v>39</v>
      </c>
      <c r="C69" s="1710" t="s">
        <v>190</v>
      </c>
      <c r="D69" s="1710" t="s">
        <v>651</v>
      </c>
      <c r="E69" s="1714">
        <v>35</v>
      </c>
      <c r="F69" s="1710" t="s">
        <v>652</v>
      </c>
      <c r="G69" s="1716">
        <v>6</v>
      </c>
      <c r="H69" s="1702" t="s">
        <v>55</v>
      </c>
      <c r="I69" s="154" t="s">
        <v>8</v>
      </c>
    </row>
    <row r="70" spans="1:9">
      <c r="A70" s="154" t="s">
        <v>8</v>
      </c>
      <c r="B70" s="1708">
        <v>40</v>
      </c>
      <c r="C70" s="1710" t="s">
        <v>190</v>
      </c>
      <c r="D70" s="1710" t="s">
        <v>653</v>
      </c>
      <c r="E70" s="1714">
        <v>35</v>
      </c>
      <c r="F70" s="1710" t="s">
        <v>654</v>
      </c>
      <c r="G70" s="1716">
        <v>6</v>
      </c>
      <c r="H70" s="1702" t="s">
        <v>55</v>
      </c>
      <c r="I70" s="154" t="s">
        <v>8</v>
      </c>
    </row>
    <row r="71" spans="1:9">
      <c r="A71" s="154" t="s">
        <v>8</v>
      </c>
      <c r="B71" s="1708">
        <v>41</v>
      </c>
      <c r="C71" s="1710" t="s">
        <v>190</v>
      </c>
      <c r="D71" s="1710" t="s">
        <v>655</v>
      </c>
      <c r="E71" s="1714">
        <v>35</v>
      </c>
      <c r="F71" s="1710" t="s">
        <v>656</v>
      </c>
      <c r="G71" s="1716">
        <v>6</v>
      </c>
      <c r="H71" s="1702" t="s">
        <v>55</v>
      </c>
      <c r="I71" s="154" t="s">
        <v>8</v>
      </c>
    </row>
    <row r="72" spans="1:9">
      <c r="A72" s="154" t="s">
        <v>8</v>
      </c>
      <c r="B72" s="1708">
        <v>42</v>
      </c>
      <c r="C72" s="1710" t="s">
        <v>190</v>
      </c>
      <c r="D72" s="1710" t="s">
        <v>657</v>
      </c>
      <c r="E72" s="1714">
        <v>35</v>
      </c>
      <c r="F72" s="1710" t="s">
        <v>658</v>
      </c>
      <c r="G72" s="1716">
        <v>6</v>
      </c>
      <c r="H72" s="1702" t="s">
        <v>55</v>
      </c>
      <c r="I72" s="154" t="s">
        <v>8</v>
      </c>
    </row>
    <row r="73" spans="1:9">
      <c r="A73" s="154" t="s">
        <v>8</v>
      </c>
      <c r="B73" s="1708">
        <v>43</v>
      </c>
      <c r="C73" s="1710" t="s">
        <v>190</v>
      </c>
      <c r="D73" s="1710" t="s">
        <v>659</v>
      </c>
      <c r="E73" s="1714">
        <v>35</v>
      </c>
      <c r="F73" s="1710" t="s">
        <v>658</v>
      </c>
      <c r="G73" s="1716">
        <v>6</v>
      </c>
      <c r="H73" s="1702" t="s">
        <v>55</v>
      </c>
      <c r="I73" s="154" t="s">
        <v>8</v>
      </c>
    </row>
    <row r="74" spans="1:9">
      <c r="A74" s="154" t="s">
        <v>8</v>
      </c>
      <c r="B74" s="1708">
        <v>44</v>
      </c>
      <c r="C74" s="1710" t="s">
        <v>190</v>
      </c>
      <c r="D74" s="1710" t="s">
        <v>660</v>
      </c>
      <c r="E74" s="1714">
        <v>35</v>
      </c>
      <c r="F74" s="1710" t="s">
        <v>661</v>
      </c>
      <c r="G74" s="1716">
        <v>6</v>
      </c>
      <c r="H74" s="1702" t="s">
        <v>55</v>
      </c>
      <c r="I74" s="154" t="s">
        <v>8</v>
      </c>
    </row>
    <row r="75" spans="1:9">
      <c r="A75" s="154" t="s">
        <v>8</v>
      </c>
      <c r="B75" s="1708">
        <v>45</v>
      </c>
      <c r="C75" s="1710" t="s">
        <v>190</v>
      </c>
      <c r="D75" s="1710" t="s">
        <v>662</v>
      </c>
      <c r="E75" s="1714">
        <v>35</v>
      </c>
      <c r="F75" s="1710" t="s">
        <v>663</v>
      </c>
      <c r="G75" s="1716">
        <v>6</v>
      </c>
      <c r="H75" s="1702" t="s">
        <v>55</v>
      </c>
      <c r="I75" s="154" t="s">
        <v>8</v>
      </c>
    </row>
    <row r="76" spans="1:9">
      <c r="A76" s="154" t="s">
        <v>8</v>
      </c>
      <c r="B76" s="1708">
        <v>46</v>
      </c>
      <c r="C76" s="1710" t="s">
        <v>190</v>
      </c>
      <c r="D76" s="1710" t="s">
        <v>664</v>
      </c>
      <c r="E76" s="1714">
        <v>35</v>
      </c>
      <c r="F76" s="1710" t="s">
        <v>665</v>
      </c>
      <c r="G76" s="1716">
        <v>6</v>
      </c>
      <c r="H76" s="1702" t="s">
        <v>55</v>
      </c>
      <c r="I76" s="154" t="s">
        <v>8</v>
      </c>
    </row>
    <row r="77" spans="1:9">
      <c r="A77" s="154" t="s">
        <v>8</v>
      </c>
      <c r="B77" s="1708">
        <v>47</v>
      </c>
      <c r="C77" s="1710" t="s">
        <v>190</v>
      </c>
      <c r="D77" s="1710" t="s">
        <v>666</v>
      </c>
      <c r="E77" s="1714">
        <v>35</v>
      </c>
      <c r="F77" s="1710" t="s">
        <v>667</v>
      </c>
      <c r="G77" s="1716">
        <v>6</v>
      </c>
      <c r="H77" s="1702" t="s">
        <v>55</v>
      </c>
      <c r="I77" s="154" t="s">
        <v>8</v>
      </c>
    </row>
    <row r="78" spans="1:9">
      <c r="A78" s="154" t="s">
        <v>8</v>
      </c>
      <c r="B78" s="1708">
        <v>48</v>
      </c>
      <c r="C78" s="1710" t="s">
        <v>190</v>
      </c>
      <c r="D78" s="1710" t="s">
        <v>668</v>
      </c>
      <c r="E78" s="1714">
        <v>35</v>
      </c>
      <c r="F78" s="1710" t="s">
        <v>669</v>
      </c>
      <c r="G78" s="1716">
        <v>6</v>
      </c>
      <c r="H78" s="1702" t="s">
        <v>55</v>
      </c>
      <c r="I78" s="154" t="s">
        <v>8</v>
      </c>
    </row>
    <row r="79" spans="1:9">
      <c r="A79" s="154" t="s">
        <v>8</v>
      </c>
      <c r="B79" s="1708">
        <v>49</v>
      </c>
      <c r="C79" s="1710" t="s">
        <v>38</v>
      </c>
      <c r="D79" s="1710" t="s">
        <v>670</v>
      </c>
      <c r="E79" s="1714">
        <v>35</v>
      </c>
      <c r="F79" s="1710" t="s">
        <v>670</v>
      </c>
      <c r="G79" s="1716">
        <v>3</v>
      </c>
      <c r="H79" s="1702" t="s">
        <v>55</v>
      </c>
      <c r="I79" s="154" t="s">
        <v>8</v>
      </c>
    </row>
    <row r="80" spans="1:9">
      <c r="A80" s="154" t="s">
        <v>8</v>
      </c>
      <c r="B80" s="1708">
        <v>50</v>
      </c>
      <c r="C80" s="1710" t="s">
        <v>38</v>
      </c>
      <c r="D80" s="1710" t="s">
        <v>671</v>
      </c>
      <c r="E80" s="1714">
        <v>35</v>
      </c>
      <c r="F80" s="1710" t="s">
        <v>672</v>
      </c>
      <c r="G80" s="1716">
        <v>3</v>
      </c>
      <c r="H80" s="1702" t="s">
        <v>55</v>
      </c>
      <c r="I80" s="154" t="s">
        <v>8</v>
      </c>
    </row>
    <row r="81" spans="1:9">
      <c r="A81" s="154" t="s">
        <v>8</v>
      </c>
      <c r="B81" s="1708">
        <v>51</v>
      </c>
      <c r="C81" s="1710" t="s">
        <v>38</v>
      </c>
      <c r="D81" s="1710" t="s">
        <v>673</v>
      </c>
      <c r="E81" s="1714">
        <v>35</v>
      </c>
      <c r="F81" s="1710" t="s">
        <v>674</v>
      </c>
      <c r="G81" s="1716">
        <v>3</v>
      </c>
      <c r="H81" s="1702" t="s">
        <v>55</v>
      </c>
      <c r="I81" s="154" t="s">
        <v>8</v>
      </c>
    </row>
    <row r="82" spans="1:9">
      <c r="A82" s="154" t="s">
        <v>8</v>
      </c>
      <c r="B82" s="1708">
        <v>52</v>
      </c>
      <c r="C82" s="1710" t="s">
        <v>38</v>
      </c>
      <c r="D82" s="1710" t="s">
        <v>675</v>
      </c>
      <c r="E82" s="1714">
        <v>35</v>
      </c>
      <c r="F82" s="1710" t="s">
        <v>676</v>
      </c>
      <c r="G82" s="1716">
        <v>3</v>
      </c>
      <c r="H82" s="1702" t="s">
        <v>55</v>
      </c>
      <c r="I82" s="154" t="s">
        <v>8</v>
      </c>
    </row>
    <row r="83" spans="1:9">
      <c r="A83" s="154" t="s">
        <v>8</v>
      </c>
      <c r="B83" s="1708">
        <v>53</v>
      </c>
      <c r="C83" s="1710" t="s">
        <v>38</v>
      </c>
      <c r="D83" s="1710" t="s">
        <v>677</v>
      </c>
      <c r="E83" s="1714">
        <v>35</v>
      </c>
      <c r="F83" s="1710" t="s">
        <v>678</v>
      </c>
      <c r="G83" s="1716">
        <v>3</v>
      </c>
      <c r="H83" s="1702" t="s">
        <v>55</v>
      </c>
      <c r="I83" s="154" t="s">
        <v>8</v>
      </c>
    </row>
    <row r="84" spans="1:9">
      <c r="A84" s="154" t="s">
        <v>8</v>
      </c>
      <c r="B84" s="1708">
        <v>54</v>
      </c>
      <c r="C84" s="1710" t="s">
        <v>38</v>
      </c>
      <c r="D84" s="1710" t="s">
        <v>679</v>
      </c>
      <c r="E84" s="1714">
        <v>35</v>
      </c>
      <c r="F84" s="1710" t="s">
        <v>680</v>
      </c>
      <c r="G84" s="1716">
        <v>3</v>
      </c>
      <c r="H84" s="1702" t="s">
        <v>55</v>
      </c>
      <c r="I84" s="154" t="s">
        <v>8</v>
      </c>
    </row>
    <row r="85" spans="1:9">
      <c r="A85" s="154" t="s">
        <v>8</v>
      </c>
      <c r="B85" s="1708">
        <v>55</v>
      </c>
      <c r="C85" s="1710" t="s">
        <v>38</v>
      </c>
      <c r="D85" s="1710" t="s">
        <v>681</v>
      </c>
      <c r="E85" s="1714">
        <v>35</v>
      </c>
      <c r="F85" s="1710" t="s">
        <v>682</v>
      </c>
      <c r="G85" s="1716">
        <v>3</v>
      </c>
      <c r="H85" s="1702" t="s">
        <v>55</v>
      </c>
      <c r="I85" s="154" t="s">
        <v>8</v>
      </c>
    </row>
    <row r="86" spans="1:9">
      <c r="A86" s="154" t="s">
        <v>8</v>
      </c>
      <c r="B86" s="1708">
        <v>56</v>
      </c>
      <c r="C86" s="1710" t="s">
        <v>38</v>
      </c>
      <c r="D86" s="1710" t="s">
        <v>683</v>
      </c>
      <c r="E86" s="1714">
        <v>35</v>
      </c>
      <c r="F86" s="1710" t="s">
        <v>684</v>
      </c>
      <c r="G86" s="1716">
        <v>3</v>
      </c>
      <c r="H86" s="1702" t="s">
        <v>55</v>
      </c>
      <c r="I86" s="154" t="s">
        <v>8</v>
      </c>
    </row>
    <row r="87" spans="1:9">
      <c r="A87" s="154" t="s">
        <v>8</v>
      </c>
      <c r="B87" s="1708">
        <v>57</v>
      </c>
      <c r="C87" s="1710" t="s">
        <v>38</v>
      </c>
      <c r="D87" s="1710" t="s">
        <v>685</v>
      </c>
      <c r="E87" s="1714">
        <v>35</v>
      </c>
      <c r="F87" s="1710" t="s">
        <v>686</v>
      </c>
      <c r="G87" s="1716">
        <v>3</v>
      </c>
      <c r="H87" s="1702" t="s">
        <v>55</v>
      </c>
      <c r="I87" s="154" t="s">
        <v>8</v>
      </c>
    </row>
    <row r="88" spans="1:9">
      <c r="A88" s="154" t="s">
        <v>8</v>
      </c>
      <c r="B88" s="1708">
        <v>58</v>
      </c>
      <c r="C88" s="1710" t="s">
        <v>38</v>
      </c>
      <c r="D88" s="1710" t="s">
        <v>687</v>
      </c>
      <c r="E88" s="1714">
        <v>35</v>
      </c>
      <c r="F88" s="1710" t="s">
        <v>688</v>
      </c>
      <c r="G88" s="1716">
        <v>3</v>
      </c>
      <c r="H88" s="1702" t="s">
        <v>55</v>
      </c>
      <c r="I88" s="154" t="s">
        <v>8</v>
      </c>
    </row>
    <row r="89" spans="1:9">
      <c r="A89" s="154" t="s">
        <v>8</v>
      </c>
      <c r="B89" s="1708">
        <v>59</v>
      </c>
      <c r="C89" s="1710" t="s">
        <v>38</v>
      </c>
      <c r="D89" s="1710" t="s">
        <v>689</v>
      </c>
      <c r="E89" s="1714">
        <v>35</v>
      </c>
      <c r="F89" s="1710" t="s">
        <v>690</v>
      </c>
      <c r="G89" s="1716">
        <v>3</v>
      </c>
      <c r="H89" s="1702" t="s">
        <v>55</v>
      </c>
      <c r="I89" s="154" t="s">
        <v>8</v>
      </c>
    </row>
    <row r="90" spans="1:9">
      <c r="A90" s="154" t="s">
        <v>8</v>
      </c>
      <c r="B90" s="1708">
        <v>60</v>
      </c>
      <c r="C90" s="1710" t="s">
        <v>38</v>
      </c>
      <c r="D90" s="1710" t="s">
        <v>691</v>
      </c>
      <c r="E90" s="1714">
        <v>35</v>
      </c>
      <c r="F90" s="1710" t="s">
        <v>692</v>
      </c>
      <c r="G90" s="1716">
        <v>3</v>
      </c>
      <c r="H90" s="1702" t="s">
        <v>55</v>
      </c>
      <c r="I90" s="154" t="s">
        <v>8</v>
      </c>
    </row>
    <row r="91" spans="1:9">
      <c r="A91" s="154" t="s">
        <v>8</v>
      </c>
      <c r="B91" s="1708">
        <v>61</v>
      </c>
      <c r="C91" s="1710" t="s">
        <v>38</v>
      </c>
      <c r="D91" s="1710" t="s">
        <v>693</v>
      </c>
      <c r="E91" s="1714">
        <v>35</v>
      </c>
      <c r="F91" s="1710" t="s">
        <v>694</v>
      </c>
      <c r="G91" s="1716">
        <v>3</v>
      </c>
      <c r="H91" s="1702" t="s">
        <v>55</v>
      </c>
      <c r="I91" s="154" t="s">
        <v>8</v>
      </c>
    </row>
    <row r="92" spans="1:9">
      <c r="A92" s="154" t="s">
        <v>8</v>
      </c>
      <c r="B92" s="1708">
        <v>62</v>
      </c>
      <c r="C92" s="1710" t="s">
        <v>38</v>
      </c>
      <c r="D92" s="1710" t="s">
        <v>695</v>
      </c>
      <c r="E92" s="1714">
        <v>35</v>
      </c>
      <c r="F92" s="1710" t="s">
        <v>696</v>
      </c>
      <c r="G92" s="1716">
        <v>3</v>
      </c>
      <c r="H92" s="1702" t="s">
        <v>55</v>
      </c>
      <c r="I92" s="154" t="s">
        <v>8</v>
      </c>
    </row>
    <row r="93" spans="1:9">
      <c r="A93" s="154" t="s">
        <v>8</v>
      </c>
      <c r="B93" s="1708">
        <v>63</v>
      </c>
      <c r="C93" s="1710" t="s">
        <v>38</v>
      </c>
      <c r="D93" s="1710" t="s">
        <v>697</v>
      </c>
      <c r="E93" s="1714">
        <v>35</v>
      </c>
      <c r="F93" s="1710" t="s">
        <v>698</v>
      </c>
      <c r="G93" s="1716">
        <v>3</v>
      </c>
      <c r="H93" s="1702" t="s">
        <v>55</v>
      </c>
      <c r="I93" s="154" t="s">
        <v>8</v>
      </c>
    </row>
    <row r="94" spans="1:9">
      <c r="A94" s="154" t="s">
        <v>8</v>
      </c>
      <c r="B94" s="1708">
        <v>64</v>
      </c>
      <c r="C94" s="1710" t="s">
        <v>38</v>
      </c>
      <c r="D94" s="1710" t="s">
        <v>699</v>
      </c>
      <c r="E94" s="1714">
        <v>35</v>
      </c>
      <c r="F94" s="1710" t="s">
        <v>700</v>
      </c>
      <c r="G94" s="1716">
        <v>3</v>
      </c>
      <c r="H94" s="1702" t="s">
        <v>55</v>
      </c>
      <c r="I94" s="154" t="s">
        <v>8</v>
      </c>
    </row>
    <row r="95" spans="1:9">
      <c r="A95" s="154" t="s">
        <v>8</v>
      </c>
      <c r="B95" s="1708">
        <v>65</v>
      </c>
      <c r="C95" s="1710" t="s">
        <v>38</v>
      </c>
      <c r="D95" s="1710" t="s">
        <v>701</v>
      </c>
      <c r="E95" s="1714">
        <v>35</v>
      </c>
      <c r="F95" s="1710" t="s">
        <v>702</v>
      </c>
      <c r="G95" s="1716">
        <v>3</v>
      </c>
      <c r="H95" s="1702" t="s">
        <v>55</v>
      </c>
      <c r="I95" s="154" t="s">
        <v>8</v>
      </c>
    </row>
    <row r="96" spans="1:9">
      <c r="A96" s="154" t="s">
        <v>8</v>
      </c>
      <c r="B96" s="1708">
        <v>66</v>
      </c>
      <c r="C96" s="1710" t="s">
        <v>38</v>
      </c>
      <c r="D96" s="1710" t="s">
        <v>703</v>
      </c>
      <c r="E96" s="1714">
        <v>35</v>
      </c>
      <c r="F96" s="1710" t="s">
        <v>704</v>
      </c>
      <c r="G96" s="1716">
        <v>3</v>
      </c>
      <c r="H96" s="1702" t="s">
        <v>55</v>
      </c>
      <c r="I96" s="154" t="s">
        <v>8</v>
      </c>
    </row>
    <row r="97" spans="1:9">
      <c r="A97" s="154" t="s">
        <v>8</v>
      </c>
      <c r="B97" s="1708">
        <v>67</v>
      </c>
      <c r="C97" s="1710" t="s">
        <v>38</v>
      </c>
      <c r="D97" s="1710" t="s">
        <v>705</v>
      </c>
      <c r="E97" s="1714">
        <v>35</v>
      </c>
      <c r="F97" s="1710" t="s">
        <v>706</v>
      </c>
      <c r="G97" s="1716">
        <v>3</v>
      </c>
      <c r="H97" s="1702" t="s">
        <v>55</v>
      </c>
      <c r="I97" s="154" t="s">
        <v>8</v>
      </c>
    </row>
    <row r="98" spans="1:9">
      <c r="A98" s="154" t="s">
        <v>8</v>
      </c>
      <c r="B98" s="1708">
        <v>68</v>
      </c>
      <c r="C98" s="1710" t="s">
        <v>38</v>
      </c>
      <c r="D98" s="1710" t="s">
        <v>707</v>
      </c>
      <c r="E98" s="1714">
        <v>35</v>
      </c>
      <c r="F98" s="1710" t="s">
        <v>708</v>
      </c>
      <c r="G98" s="1716">
        <v>3</v>
      </c>
      <c r="H98" s="1702" t="s">
        <v>55</v>
      </c>
      <c r="I98" s="154" t="s">
        <v>8</v>
      </c>
    </row>
    <row r="99" spans="1:9">
      <c r="A99" s="154" t="s">
        <v>8</v>
      </c>
      <c r="B99" s="1708">
        <v>69</v>
      </c>
      <c r="C99" s="1710" t="s">
        <v>38</v>
      </c>
      <c r="D99" s="1710" t="s">
        <v>709</v>
      </c>
      <c r="E99" s="1714">
        <v>35</v>
      </c>
      <c r="F99" s="1710" t="s">
        <v>710</v>
      </c>
      <c r="G99" s="1716">
        <v>3</v>
      </c>
      <c r="H99" s="1702" t="s">
        <v>55</v>
      </c>
      <c r="I99" s="154" t="s">
        <v>8</v>
      </c>
    </row>
    <row r="100" spans="1:9">
      <c r="A100" s="154" t="s">
        <v>8</v>
      </c>
      <c r="B100" s="1708">
        <v>70</v>
      </c>
      <c r="C100" s="1710" t="s">
        <v>38</v>
      </c>
      <c r="D100" s="1710" t="s">
        <v>711</v>
      </c>
      <c r="E100" s="1714">
        <v>35</v>
      </c>
      <c r="F100" s="1710" t="s">
        <v>712</v>
      </c>
      <c r="G100" s="1716">
        <v>3</v>
      </c>
      <c r="H100" s="1702" t="s">
        <v>55</v>
      </c>
      <c r="I100" s="154" t="s">
        <v>8</v>
      </c>
    </row>
    <row r="101" spans="1:9">
      <c r="A101" s="154" t="s">
        <v>8</v>
      </c>
      <c r="B101" s="1708">
        <v>71</v>
      </c>
      <c r="C101" s="1710" t="s">
        <v>38</v>
      </c>
      <c r="D101" s="1710" t="s">
        <v>713</v>
      </c>
      <c r="E101" s="1714">
        <v>35</v>
      </c>
      <c r="F101" s="1710" t="s">
        <v>714</v>
      </c>
      <c r="G101" s="1716">
        <v>3</v>
      </c>
      <c r="H101" s="1702" t="s">
        <v>55</v>
      </c>
      <c r="I101" s="154" t="s">
        <v>8</v>
      </c>
    </row>
    <row r="102" spans="1:9">
      <c r="A102" s="154" t="s">
        <v>8</v>
      </c>
      <c r="B102" s="1708">
        <v>72</v>
      </c>
      <c r="C102" s="1710" t="s">
        <v>38</v>
      </c>
      <c r="D102" s="1710" t="s">
        <v>715</v>
      </c>
      <c r="E102" s="1714">
        <v>35</v>
      </c>
      <c r="F102" s="1710" t="s">
        <v>716</v>
      </c>
      <c r="G102" s="1716">
        <v>3</v>
      </c>
      <c r="H102" s="1702" t="s">
        <v>55</v>
      </c>
      <c r="I102" s="154" t="s">
        <v>8</v>
      </c>
    </row>
    <row r="103" spans="1:9">
      <c r="A103" s="154" t="s">
        <v>8</v>
      </c>
      <c r="B103" s="1708">
        <v>73</v>
      </c>
      <c r="C103" s="1710" t="s">
        <v>38</v>
      </c>
      <c r="D103" s="1710" t="s">
        <v>717</v>
      </c>
      <c r="E103" s="1714">
        <v>35</v>
      </c>
      <c r="F103" s="1710" t="s">
        <v>718</v>
      </c>
      <c r="G103" s="1716">
        <v>3</v>
      </c>
      <c r="H103" s="1702" t="s">
        <v>55</v>
      </c>
      <c r="I103" s="154" t="s">
        <v>8</v>
      </c>
    </row>
    <row r="104" spans="1:9">
      <c r="A104" s="154" t="s">
        <v>8</v>
      </c>
      <c r="B104" s="1708">
        <v>74</v>
      </c>
      <c r="C104" s="1710" t="s">
        <v>38</v>
      </c>
      <c r="D104" s="1710" t="s">
        <v>719</v>
      </c>
      <c r="E104" s="1714">
        <v>35</v>
      </c>
      <c r="F104" s="1710" t="s">
        <v>720</v>
      </c>
      <c r="G104" s="1716">
        <v>3</v>
      </c>
      <c r="H104" s="1702" t="s">
        <v>55</v>
      </c>
      <c r="I104" s="154" t="s">
        <v>8</v>
      </c>
    </row>
    <row r="105" spans="1:9">
      <c r="A105" s="154" t="s">
        <v>8</v>
      </c>
      <c r="B105" s="1708">
        <v>75</v>
      </c>
      <c r="C105" s="1710" t="s">
        <v>38</v>
      </c>
      <c r="D105" s="1710" t="s">
        <v>721</v>
      </c>
      <c r="E105" s="1714">
        <v>35</v>
      </c>
      <c r="F105" s="1710" t="s">
        <v>722</v>
      </c>
      <c r="G105" s="1716">
        <v>3</v>
      </c>
      <c r="H105" s="1702" t="s">
        <v>55</v>
      </c>
      <c r="I105" s="154" t="s">
        <v>8</v>
      </c>
    </row>
    <row r="106" spans="1:9">
      <c r="A106" s="154" t="s">
        <v>8</v>
      </c>
      <c r="B106" s="1708">
        <v>76</v>
      </c>
      <c r="C106" s="1710" t="s">
        <v>38</v>
      </c>
      <c r="D106" s="1710" t="s">
        <v>723</v>
      </c>
      <c r="E106" s="1714">
        <v>35</v>
      </c>
      <c r="F106" s="1710" t="s">
        <v>724</v>
      </c>
      <c r="G106" s="1716">
        <v>3</v>
      </c>
      <c r="H106" s="1702" t="s">
        <v>55</v>
      </c>
      <c r="I106" s="154" t="s">
        <v>8</v>
      </c>
    </row>
    <row r="107" spans="1:9">
      <c r="A107" s="154" t="s">
        <v>8</v>
      </c>
      <c r="B107" s="1708">
        <v>77</v>
      </c>
      <c r="C107" s="1710" t="s">
        <v>38</v>
      </c>
      <c r="D107" s="1710" t="s">
        <v>725</v>
      </c>
      <c r="E107" s="1714">
        <v>35</v>
      </c>
      <c r="F107" s="1710" t="s">
        <v>726</v>
      </c>
      <c r="G107" s="1716">
        <v>3</v>
      </c>
      <c r="H107" s="1702" t="s">
        <v>55</v>
      </c>
      <c r="I107" s="154" t="s">
        <v>8</v>
      </c>
    </row>
    <row r="108" spans="1:9">
      <c r="A108" s="154" t="s">
        <v>8</v>
      </c>
      <c r="B108" s="1708">
        <v>78</v>
      </c>
      <c r="C108" s="1710" t="s">
        <v>38</v>
      </c>
      <c r="D108" s="1710" t="s">
        <v>727</v>
      </c>
      <c r="E108" s="1714">
        <v>35</v>
      </c>
      <c r="F108" s="1710" t="s">
        <v>728</v>
      </c>
      <c r="G108" s="1716">
        <v>3</v>
      </c>
      <c r="H108" s="1702" t="s">
        <v>55</v>
      </c>
      <c r="I108" s="154" t="s">
        <v>8</v>
      </c>
    </row>
    <row r="109" spans="1:9">
      <c r="A109" s="154" t="s">
        <v>8</v>
      </c>
      <c r="B109" s="1708">
        <v>79</v>
      </c>
      <c r="C109" s="1710" t="s">
        <v>38</v>
      </c>
      <c r="D109" s="1710" t="s">
        <v>729</v>
      </c>
      <c r="E109" s="1714">
        <v>35</v>
      </c>
      <c r="F109" s="1710" t="s">
        <v>730</v>
      </c>
      <c r="G109" s="1716">
        <v>3</v>
      </c>
      <c r="H109" s="1702" t="s">
        <v>55</v>
      </c>
      <c r="I109" s="154" t="s">
        <v>8</v>
      </c>
    </row>
    <row r="110" spans="1:9">
      <c r="A110" s="154" t="s">
        <v>8</v>
      </c>
      <c r="B110" s="1708">
        <v>80</v>
      </c>
      <c r="C110" s="1710" t="s">
        <v>38</v>
      </c>
      <c r="D110" s="1710" t="s">
        <v>731</v>
      </c>
      <c r="E110" s="1714">
        <v>35</v>
      </c>
      <c r="F110" s="1710" t="s">
        <v>732</v>
      </c>
      <c r="G110" s="1716">
        <v>3</v>
      </c>
      <c r="H110" s="1702" t="s">
        <v>55</v>
      </c>
      <c r="I110" s="154" t="s">
        <v>8</v>
      </c>
    </row>
    <row r="111" spans="1:9">
      <c r="A111" s="154" t="s">
        <v>8</v>
      </c>
      <c r="B111" s="1708">
        <v>81</v>
      </c>
      <c r="C111" s="1710" t="s">
        <v>38</v>
      </c>
      <c r="D111" s="1710" t="s">
        <v>733</v>
      </c>
      <c r="E111" s="1714">
        <v>35</v>
      </c>
      <c r="F111" s="1710" t="s">
        <v>734</v>
      </c>
      <c r="G111" s="1716">
        <v>3</v>
      </c>
      <c r="H111" s="1702" t="s">
        <v>55</v>
      </c>
      <c r="I111" s="154" t="s">
        <v>8</v>
      </c>
    </row>
    <row r="112" spans="1:9">
      <c r="A112" s="154" t="s">
        <v>8</v>
      </c>
      <c r="B112" s="1708">
        <v>82</v>
      </c>
      <c r="C112" s="1710" t="s">
        <v>38</v>
      </c>
      <c r="D112" s="1710" t="s">
        <v>735</v>
      </c>
      <c r="E112" s="1714">
        <v>35</v>
      </c>
      <c r="F112" s="1710" t="s">
        <v>736</v>
      </c>
      <c r="G112" s="1716">
        <v>3</v>
      </c>
      <c r="H112" s="1702" t="s">
        <v>55</v>
      </c>
      <c r="I112" s="154" t="s">
        <v>8</v>
      </c>
    </row>
    <row r="113" spans="1:9">
      <c r="A113" s="154" t="s">
        <v>8</v>
      </c>
      <c r="B113" s="1708">
        <v>83</v>
      </c>
      <c r="C113" s="1710" t="s">
        <v>38</v>
      </c>
      <c r="D113" s="1710" t="s">
        <v>737</v>
      </c>
      <c r="E113" s="1714">
        <v>35</v>
      </c>
      <c r="F113" s="1710" t="s">
        <v>738</v>
      </c>
      <c r="G113" s="1716">
        <v>3</v>
      </c>
      <c r="H113" s="1702" t="s">
        <v>55</v>
      </c>
      <c r="I113" s="154" t="s">
        <v>8</v>
      </c>
    </row>
    <row r="114" spans="1:9">
      <c r="A114" s="154" t="s">
        <v>8</v>
      </c>
      <c r="B114" s="1708">
        <v>84</v>
      </c>
      <c r="C114" s="1710" t="s">
        <v>38</v>
      </c>
      <c r="D114" s="1710" t="s">
        <v>739</v>
      </c>
      <c r="E114" s="1714">
        <v>35</v>
      </c>
      <c r="F114" s="1710" t="s">
        <v>740</v>
      </c>
      <c r="G114" s="1716">
        <v>3</v>
      </c>
      <c r="H114" s="1702" t="s">
        <v>55</v>
      </c>
      <c r="I114" s="154" t="s">
        <v>8</v>
      </c>
    </row>
    <row r="115" spans="1:9">
      <c r="A115" s="154" t="s">
        <v>8</v>
      </c>
      <c r="B115" s="1708">
        <v>85</v>
      </c>
      <c r="C115" s="1710" t="s">
        <v>38</v>
      </c>
      <c r="D115" s="1710" t="s">
        <v>741</v>
      </c>
      <c r="E115" s="1714">
        <v>35</v>
      </c>
      <c r="F115" s="1710" t="s">
        <v>742</v>
      </c>
      <c r="G115" s="1716">
        <v>3</v>
      </c>
      <c r="H115" s="1702" t="s">
        <v>55</v>
      </c>
      <c r="I115" s="154" t="s">
        <v>8</v>
      </c>
    </row>
    <row r="116" spans="1:9">
      <c r="A116" s="154" t="s">
        <v>8</v>
      </c>
      <c r="B116" s="1708">
        <v>86</v>
      </c>
      <c r="C116" s="1710" t="s">
        <v>38</v>
      </c>
      <c r="D116" s="1710" t="s">
        <v>743</v>
      </c>
      <c r="E116" s="1714">
        <v>35</v>
      </c>
      <c r="F116" s="1710" t="s">
        <v>744</v>
      </c>
      <c r="G116" s="1716">
        <v>3</v>
      </c>
      <c r="H116" s="1702" t="s">
        <v>55</v>
      </c>
      <c r="I116" s="154" t="s">
        <v>8</v>
      </c>
    </row>
    <row r="117" spans="1:9">
      <c r="A117" s="154" t="s">
        <v>8</v>
      </c>
      <c r="B117" s="1708">
        <v>87</v>
      </c>
      <c r="C117" s="1710" t="s">
        <v>38</v>
      </c>
      <c r="D117" s="1710" t="s">
        <v>745</v>
      </c>
      <c r="E117" s="1714">
        <v>35</v>
      </c>
      <c r="F117" s="1710" t="s">
        <v>746</v>
      </c>
      <c r="G117" s="1716">
        <v>3</v>
      </c>
      <c r="H117" s="1702" t="s">
        <v>55</v>
      </c>
      <c r="I117" s="154" t="s">
        <v>8</v>
      </c>
    </row>
    <row r="118" spans="1:9">
      <c r="A118" s="154" t="s">
        <v>8</v>
      </c>
      <c r="B118" s="1708">
        <v>88</v>
      </c>
      <c r="C118" s="1710" t="s">
        <v>38</v>
      </c>
      <c r="D118" s="1710" t="s">
        <v>747</v>
      </c>
      <c r="E118" s="1714">
        <v>35</v>
      </c>
      <c r="F118" s="1710" t="s">
        <v>748</v>
      </c>
      <c r="G118" s="1716">
        <v>3</v>
      </c>
      <c r="H118" s="1702" t="s">
        <v>55</v>
      </c>
      <c r="I118" s="154" t="s">
        <v>8</v>
      </c>
    </row>
    <row r="119" spans="1:9">
      <c r="A119" s="154" t="s">
        <v>8</v>
      </c>
      <c r="B119" s="1708">
        <v>89</v>
      </c>
      <c r="C119" s="1710" t="s">
        <v>38</v>
      </c>
      <c r="D119" s="1710" t="s">
        <v>749</v>
      </c>
      <c r="E119" s="1714">
        <v>35</v>
      </c>
      <c r="F119" s="1710" t="s">
        <v>750</v>
      </c>
      <c r="G119" s="1716">
        <v>3</v>
      </c>
      <c r="H119" s="1702" t="s">
        <v>55</v>
      </c>
      <c r="I119" s="154" t="s">
        <v>8</v>
      </c>
    </row>
    <row r="120" spans="1:9">
      <c r="A120" s="154" t="s">
        <v>8</v>
      </c>
      <c r="B120" s="1708">
        <v>90</v>
      </c>
      <c r="C120" s="1710" t="s">
        <v>38</v>
      </c>
      <c r="D120" s="1710" t="s">
        <v>751</v>
      </c>
      <c r="E120" s="1714">
        <v>35</v>
      </c>
      <c r="F120" s="1710" t="s">
        <v>752</v>
      </c>
      <c r="G120" s="1716">
        <v>3</v>
      </c>
      <c r="H120" s="1702" t="s">
        <v>55</v>
      </c>
      <c r="I120" s="154" t="s">
        <v>8</v>
      </c>
    </row>
    <row r="121" spans="1:9">
      <c r="A121" s="154" t="s">
        <v>8</v>
      </c>
      <c r="B121" s="1708">
        <v>91</v>
      </c>
      <c r="C121" s="1710" t="s">
        <v>38</v>
      </c>
      <c r="D121" s="1710" t="s">
        <v>753</v>
      </c>
      <c r="E121" s="1714">
        <v>35</v>
      </c>
      <c r="F121" s="1710" t="s">
        <v>754</v>
      </c>
      <c r="G121" s="1716">
        <v>3</v>
      </c>
      <c r="H121" s="1702" t="s">
        <v>55</v>
      </c>
      <c r="I121" s="154" t="s">
        <v>8</v>
      </c>
    </row>
    <row r="122" spans="1:9">
      <c r="A122" s="154" t="s">
        <v>8</v>
      </c>
      <c r="B122" s="1708">
        <v>92</v>
      </c>
      <c r="C122" s="1710" t="s">
        <v>38</v>
      </c>
      <c r="D122" s="1710" t="s">
        <v>755</v>
      </c>
      <c r="E122" s="1714">
        <v>35</v>
      </c>
      <c r="F122" s="1710" t="s">
        <v>756</v>
      </c>
      <c r="G122" s="1716">
        <v>3</v>
      </c>
      <c r="H122" s="1702" t="s">
        <v>55</v>
      </c>
      <c r="I122" s="154" t="s">
        <v>8</v>
      </c>
    </row>
    <row r="123" spans="1:9">
      <c r="A123" s="154" t="s">
        <v>8</v>
      </c>
      <c r="B123" s="1708">
        <v>93</v>
      </c>
      <c r="C123" s="1710" t="s">
        <v>56</v>
      </c>
      <c r="D123" s="1710" t="s">
        <v>757</v>
      </c>
      <c r="E123" s="1714">
        <v>35</v>
      </c>
      <c r="F123" s="1710" t="s">
        <v>758</v>
      </c>
      <c r="G123" s="1716">
        <v>2</v>
      </c>
      <c r="H123" s="1702" t="s">
        <v>55</v>
      </c>
      <c r="I123" s="154" t="s">
        <v>8</v>
      </c>
    </row>
    <row r="124" spans="1:9">
      <c r="A124" s="154" t="s">
        <v>8</v>
      </c>
      <c r="B124" s="1708">
        <v>94</v>
      </c>
      <c r="C124" s="1710" t="s">
        <v>56</v>
      </c>
      <c r="D124" s="1710" t="s">
        <v>759</v>
      </c>
      <c r="E124" s="1714">
        <v>35</v>
      </c>
      <c r="F124" s="1710" t="s">
        <v>760</v>
      </c>
      <c r="G124" s="1716">
        <v>2</v>
      </c>
      <c r="H124" s="1702" t="s">
        <v>55</v>
      </c>
      <c r="I124" s="154" t="s">
        <v>8</v>
      </c>
    </row>
    <row r="125" spans="1:9">
      <c r="A125" s="154" t="s">
        <v>8</v>
      </c>
      <c r="B125" s="1708">
        <v>95</v>
      </c>
      <c r="C125" s="1710" t="s">
        <v>56</v>
      </c>
      <c r="D125" s="1710" t="s">
        <v>761</v>
      </c>
      <c r="E125" s="1714">
        <v>35</v>
      </c>
      <c r="F125" s="1710" t="s">
        <v>762</v>
      </c>
      <c r="G125" s="1716">
        <v>2</v>
      </c>
      <c r="H125" s="1702" t="s">
        <v>55</v>
      </c>
      <c r="I125" s="154" t="s">
        <v>8</v>
      </c>
    </row>
    <row r="126" spans="1:9">
      <c r="A126" s="154" t="s">
        <v>8</v>
      </c>
      <c r="B126" s="1708">
        <v>96</v>
      </c>
      <c r="C126" s="1710" t="s">
        <v>56</v>
      </c>
      <c r="D126" s="1710" t="s">
        <v>763</v>
      </c>
      <c r="E126" s="1714">
        <v>35</v>
      </c>
      <c r="F126" s="1710" t="s">
        <v>764</v>
      </c>
      <c r="G126" s="1716">
        <v>2</v>
      </c>
      <c r="H126" s="1702" t="s">
        <v>55</v>
      </c>
      <c r="I126" s="154" t="s">
        <v>8</v>
      </c>
    </row>
    <row r="127" spans="1:9">
      <c r="A127" s="154" t="s">
        <v>8</v>
      </c>
      <c r="B127" s="1708">
        <v>97</v>
      </c>
      <c r="C127" s="1710" t="s">
        <v>56</v>
      </c>
      <c r="D127" s="1710" t="s">
        <v>765</v>
      </c>
      <c r="E127" s="1714">
        <v>35</v>
      </c>
      <c r="F127" s="1710" t="s">
        <v>766</v>
      </c>
      <c r="G127" s="1716">
        <v>2</v>
      </c>
      <c r="H127" s="1702" t="s">
        <v>55</v>
      </c>
      <c r="I127" s="154" t="s">
        <v>8</v>
      </c>
    </row>
    <row r="128" spans="1:9">
      <c r="A128" s="154" t="s">
        <v>8</v>
      </c>
      <c r="B128" s="1708">
        <v>98</v>
      </c>
      <c r="C128" s="1710" t="s">
        <v>56</v>
      </c>
      <c r="D128" s="1710" t="s">
        <v>767</v>
      </c>
      <c r="E128" s="1714">
        <v>35</v>
      </c>
      <c r="F128" s="1710" t="s">
        <v>768</v>
      </c>
      <c r="G128" s="1716">
        <v>2</v>
      </c>
      <c r="H128" s="1702" t="s">
        <v>55</v>
      </c>
      <c r="I128" s="154" t="s">
        <v>8</v>
      </c>
    </row>
    <row r="129" spans="1:9">
      <c r="A129" s="154" t="s">
        <v>8</v>
      </c>
      <c r="B129" s="1708">
        <v>99</v>
      </c>
      <c r="C129" s="1710" t="s">
        <v>56</v>
      </c>
      <c r="D129" s="1710" t="s">
        <v>769</v>
      </c>
      <c r="E129" s="1714">
        <v>35</v>
      </c>
      <c r="F129" s="1710" t="s">
        <v>770</v>
      </c>
      <c r="G129" s="1716">
        <v>2</v>
      </c>
      <c r="H129" s="1702" t="s">
        <v>55</v>
      </c>
      <c r="I129" s="154" t="s">
        <v>8</v>
      </c>
    </row>
    <row r="130" spans="1:9">
      <c r="A130" s="154" t="s">
        <v>8</v>
      </c>
      <c r="B130" s="1708">
        <v>100</v>
      </c>
      <c r="C130" s="1710" t="s">
        <v>56</v>
      </c>
      <c r="D130" s="1710" t="s">
        <v>771</v>
      </c>
      <c r="E130" s="1714">
        <v>35</v>
      </c>
      <c r="F130" s="1710" t="s">
        <v>772</v>
      </c>
      <c r="G130" s="1716">
        <v>2</v>
      </c>
      <c r="H130" s="1702" t="s">
        <v>55</v>
      </c>
      <c r="I130" s="154" t="s">
        <v>8</v>
      </c>
    </row>
    <row r="131" spans="1:9">
      <c r="A131" s="154" t="s">
        <v>8</v>
      </c>
      <c r="B131" s="1708">
        <v>101</v>
      </c>
      <c r="C131" s="1710" t="s">
        <v>56</v>
      </c>
      <c r="D131" s="1710" t="s">
        <v>773</v>
      </c>
      <c r="E131" s="1714">
        <v>35</v>
      </c>
      <c r="F131" s="1710" t="s">
        <v>774</v>
      </c>
      <c r="G131" s="1716">
        <v>2</v>
      </c>
      <c r="H131" s="1702" t="s">
        <v>55</v>
      </c>
      <c r="I131" s="154" t="s">
        <v>8</v>
      </c>
    </row>
    <row r="132" spans="1:9">
      <c r="A132" s="154" t="s">
        <v>8</v>
      </c>
      <c r="B132" s="1708">
        <v>102</v>
      </c>
      <c r="C132" s="1710" t="s">
        <v>56</v>
      </c>
      <c r="D132" s="1710" t="s">
        <v>775</v>
      </c>
      <c r="E132" s="1714">
        <v>35</v>
      </c>
      <c r="F132" s="1710" t="s">
        <v>776</v>
      </c>
      <c r="G132" s="1716">
        <v>2</v>
      </c>
      <c r="H132" s="1702" t="s">
        <v>55</v>
      </c>
      <c r="I132" s="154" t="s">
        <v>8</v>
      </c>
    </row>
    <row r="133" spans="1:9">
      <c r="A133" s="154" t="s">
        <v>8</v>
      </c>
      <c r="B133" s="1708">
        <v>103</v>
      </c>
      <c r="C133" s="1710" t="s">
        <v>56</v>
      </c>
      <c r="D133" s="1710" t="s">
        <v>777</v>
      </c>
      <c r="E133" s="1714">
        <v>35</v>
      </c>
      <c r="F133" s="1710" t="s">
        <v>778</v>
      </c>
      <c r="G133" s="1716">
        <v>2</v>
      </c>
      <c r="H133" s="1702" t="s">
        <v>55</v>
      </c>
      <c r="I133" s="154" t="s">
        <v>8</v>
      </c>
    </row>
    <row r="134" spans="1:9">
      <c r="A134" s="154" t="s">
        <v>8</v>
      </c>
      <c r="B134" s="1708">
        <v>104</v>
      </c>
      <c r="C134" s="1710" t="s">
        <v>56</v>
      </c>
      <c r="D134" s="1710" t="s">
        <v>779</v>
      </c>
      <c r="E134" s="1714">
        <v>35</v>
      </c>
      <c r="F134" s="1710" t="s">
        <v>780</v>
      </c>
      <c r="G134" s="1716">
        <v>2</v>
      </c>
      <c r="H134" s="1702" t="s">
        <v>55</v>
      </c>
      <c r="I134" s="154" t="s">
        <v>8</v>
      </c>
    </row>
    <row r="135" spans="1:9">
      <c r="A135" s="154" t="s">
        <v>8</v>
      </c>
      <c r="B135" s="1708">
        <v>105</v>
      </c>
      <c r="C135" s="1710" t="s">
        <v>56</v>
      </c>
      <c r="D135" s="1710" t="s">
        <v>781</v>
      </c>
      <c r="E135" s="1714">
        <v>35</v>
      </c>
      <c r="F135" s="1710" t="s">
        <v>782</v>
      </c>
      <c r="G135" s="1716">
        <v>2</v>
      </c>
      <c r="H135" s="1702" t="s">
        <v>55</v>
      </c>
      <c r="I135" s="154" t="s">
        <v>8</v>
      </c>
    </row>
    <row r="136" spans="1:9">
      <c r="A136" s="154" t="s">
        <v>8</v>
      </c>
      <c r="B136" s="1708">
        <v>106</v>
      </c>
      <c r="C136" s="1710" t="s">
        <v>56</v>
      </c>
      <c r="D136" s="1710" t="s">
        <v>783</v>
      </c>
      <c r="E136" s="1714">
        <v>35</v>
      </c>
      <c r="F136" s="1710" t="s">
        <v>784</v>
      </c>
      <c r="G136" s="1716">
        <v>2</v>
      </c>
      <c r="H136" s="1702" t="s">
        <v>55</v>
      </c>
      <c r="I136" s="154" t="s">
        <v>8</v>
      </c>
    </row>
    <row r="137" spans="1:9">
      <c r="A137" s="154" t="s">
        <v>8</v>
      </c>
      <c r="B137" s="1708">
        <v>107</v>
      </c>
      <c r="C137" s="1710" t="s">
        <v>56</v>
      </c>
      <c r="D137" s="1710" t="s">
        <v>785</v>
      </c>
      <c r="E137" s="1714">
        <v>35</v>
      </c>
      <c r="F137" s="1710" t="s">
        <v>786</v>
      </c>
      <c r="G137" s="1716">
        <v>2</v>
      </c>
      <c r="H137" s="1702" t="s">
        <v>55</v>
      </c>
      <c r="I137" s="154" t="s">
        <v>8</v>
      </c>
    </row>
    <row r="138" spans="1:9">
      <c r="A138" s="154" t="s">
        <v>8</v>
      </c>
      <c r="B138" s="1708">
        <v>108</v>
      </c>
      <c r="C138" s="1710" t="s">
        <v>56</v>
      </c>
      <c r="D138" s="1710" t="s">
        <v>787</v>
      </c>
      <c r="E138" s="1714">
        <v>35</v>
      </c>
      <c r="F138" s="1710" t="s">
        <v>788</v>
      </c>
      <c r="G138" s="1716">
        <v>2</v>
      </c>
      <c r="H138" s="1702" t="s">
        <v>55</v>
      </c>
      <c r="I138" s="154" t="s">
        <v>8</v>
      </c>
    </row>
    <row r="139" spans="1:9">
      <c r="A139" s="154" t="s">
        <v>8</v>
      </c>
      <c r="B139" s="1708">
        <v>109</v>
      </c>
      <c r="C139" s="1710" t="s">
        <v>48</v>
      </c>
      <c r="D139" s="1710" t="s">
        <v>789</v>
      </c>
      <c r="E139" s="1714">
        <v>35</v>
      </c>
      <c r="F139" s="1710" t="s">
        <v>789</v>
      </c>
      <c r="G139" s="1716">
        <v>1</v>
      </c>
      <c r="H139" s="1702" t="s">
        <v>55</v>
      </c>
      <c r="I139" s="154" t="s">
        <v>8</v>
      </c>
    </row>
    <row r="140" spans="1:9">
      <c r="A140" s="154" t="s">
        <v>8</v>
      </c>
      <c r="B140" s="1708">
        <v>110</v>
      </c>
      <c r="C140" s="1710" t="s">
        <v>48</v>
      </c>
      <c r="D140" s="1710" t="s">
        <v>790</v>
      </c>
      <c r="E140" s="1714">
        <v>35</v>
      </c>
      <c r="F140" s="1710" t="s">
        <v>790</v>
      </c>
      <c r="G140" s="1716">
        <v>1</v>
      </c>
      <c r="H140" s="1702" t="s">
        <v>55</v>
      </c>
      <c r="I140" s="154" t="s">
        <v>8</v>
      </c>
    </row>
    <row r="141" spans="1:9">
      <c r="A141" s="154" t="s">
        <v>8</v>
      </c>
      <c r="B141" s="1708">
        <v>111</v>
      </c>
      <c r="C141" s="1710" t="s">
        <v>48</v>
      </c>
      <c r="D141" s="1710" t="s">
        <v>791</v>
      </c>
      <c r="E141" s="1714">
        <v>35</v>
      </c>
      <c r="F141" s="1710" t="s">
        <v>792</v>
      </c>
      <c r="G141" s="1716">
        <v>1</v>
      </c>
      <c r="H141" s="1702" t="s">
        <v>55</v>
      </c>
      <c r="I141" s="154" t="s">
        <v>8</v>
      </c>
    </row>
    <row r="142" spans="1:9">
      <c r="A142" s="154" t="s">
        <v>8</v>
      </c>
      <c r="B142" s="1708">
        <v>112</v>
      </c>
      <c r="C142" s="1710" t="s">
        <v>48</v>
      </c>
      <c r="D142" s="1710" t="s">
        <v>793</v>
      </c>
      <c r="E142" s="1714">
        <v>35</v>
      </c>
      <c r="F142" s="1710" t="s">
        <v>794</v>
      </c>
      <c r="G142" s="1716">
        <v>1</v>
      </c>
      <c r="H142" s="1702" t="s">
        <v>55</v>
      </c>
      <c r="I142" s="154" t="s">
        <v>8</v>
      </c>
    </row>
    <row r="143" spans="1:9">
      <c r="A143" s="154" t="s">
        <v>8</v>
      </c>
      <c r="B143" s="1708">
        <v>113</v>
      </c>
      <c r="C143" s="1710" t="s">
        <v>48</v>
      </c>
      <c r="D143" s="1710" t="s">
        <v>795</v>
      </c>
      <c r="E143" s="1714">
        <v>35</v>
      </c>
      <c r="F143" s="1710" t="s">
        <v>796</v>
      </c>
      <c r="G143" s="1716">
        <v>1</v>
      </c>
      <c r="H143" s="1702" t="s">
        <v>55</v>
      </c>
      <c r="I143" s="154" t="s">
        <v>8</v>
      </c>
    </row>
    <row r="144" spans="1:9">
      <c r="A144" s="154" t="s">
        <v>8</v>
      </c>
      <c r="B144" s="1708">
        <v>114</v>
      </c>
      <c r="C144" s="1710" t="s">
        <v>48</v>
      </c>
      <c r="D144" s="1710" t="s">
        <v>797</v>
      </c>
      <c r="E144" s="1714">
        <v>35</v>
      </c>
      <c r="F144" s="1710" t="s">
        <v>798</v>
      </c>
      <c r="G144" s="1716">
        <v>1</v>
      </c>
      <c r="H144" s="1702" t="s">
        <v>55</v>
      </c>
      <c r="I144" s="154" t="s">
        <v>8</v>
      </c>
    </row>
    <row r="145" spans="1:9">
      <c r="A145" s="154" t="s">
        <v>8</v>
      </c>
      <c r="B145" s="1708">
        <v>115</v>
      </c>
      <c r="C145" s="1710" t="s">
        <v>48</v>
      </c>
      <c r="D145" s="1710" t="s">
        <v>799</v>
      </c>
      <c r="E145" s="1714">
        <v>35</v>
      </c>
      <c r="F145" s="1710" t="s">
        <v>800</v>
      </c>
      <c r="G145" s="1716">
        <v>1</v>
      </c>
      <c r="H145" s="1702" t="s">
        <v>55</v>
      </c>
      <c r="I145" s="154" t="s">
        <v>8</v>
      </c>
    </row>
    <row r="146" spans="1:9">
      <c r="A146" s="154" t="s">
        <v>8</v>
      </c>
      <c r="B146" s="1708">
        <v>116</v>
      </c>
      <c r="C146" s="1710" t="s">
        <v>48</v>
      </c>
      <c r="D146" s="1710" t="s">
        <v>801</v>
      </c>
      <c r="E146" s="1714">
        <v>35</v>
      </c>
      <c r="F146" s="1710" t="s">
        <v>802</v>
      </c>
      <c r="G146" s="1716">
        <v>1</v>
      </c>
      <c r="H146" s="1702" t="s">
        <v>55</v>
      </c>
      <c r="I146" s="154" t="s">
        <v>8</v>
      </c>
    </row>
    <row r="147" spans="1:9">
      <c r="A147" s="154" t="s">
        <v>8</v>
      </c>
      <c r="B147" s="1708">
        <v>117</v>
      </c>
      <c r="C147" s="1710" t="s">
        <v>48</v>
      </c>
      <c r="D147" s="1710" t="s">
        <v>803</v>
      </c>
      <c r="E147" s="1714">
        <v>35</v>
      </c>
      <c r="F147" s="1710" t="s">
        <v>804</v>
      </c>
      <c r="G147" s="1716">
        <v>1</v>
      </c>
      <c r="H147" s="1702" t="s">
        <v>55</v>
      </c>
      <c r="I147" s="154" t="s">
        <v>8</v>
      </c>
    </row>
    <row r="148" spans="1:9">
      <c r="A148" s="154" t="s">
        <v>8</v>
      </c>
      <c r="B148" s="1708">
        <v>118</v>
      </c>
      <c r="C148" s="1710" t="s">
        <v>48</v>
      </c>
      <c r="D148" s="1710" t="s">
        <v>805</v>
      </c>
      <c r="E148" s="1714">
        <v>35</v>
      </c>
      <c r="F148" s="1710" t="s">
        <v>806</v>
      </c>
      <c r="G148" s="1716">
        <v>1</v>
      </c>
      <c r="H148" s="1702" t="s">
        <v>55</v>
      </c>
      <c r="I148" s="154" t="s">
        <v>8</v>
      </c>
    </row>
    <row r="149" spans="1:9">
      <c r="A149" s="154" t="s">
        <v>8</v>
      </c>
      <c r="B149" s="1708">
        <v>119</v>
      </c>
      <c r="C149" s="1710" t="s">
        <v>48</v>
      </c>
      <c r="D149" s="1710" t="s">
        <v>807</v>
      </c>
      <c r="E149" s="1714">
        <v>35</v>
      </c>
      <c r="F149" s="1710" t="s">
        <v>808</v>
      </c>
      <c r="G149" s="1716">
        <v>1</v>
      </c>
      <c r="H149" s="1702" t="s">
        <v>55</v>
      </c>
      <c r="I149" s="154" t="s">
        <v>8</v>
      </c>
    </row>
    <row r="150" spans="1:9">
      <c r="A150" s="154" t="s">
        <v>8</v>
      </c>
      <c r="B150" s="1708">
        <v>120</v>
      </c>
      <c r="C150" s="1710" t="s">
        <v>48</v>
      </c>
      <c r="D150" s="1710" t="s">
        <v>809</v>
      </c>
      <c r="E150" s="1714">
        <v>35</v>
      </c>
      <c r="F150" s="1710" t="s">
        <v>810</v>
      </c>
      <c r="G150" s="1716">
        <v>1</v>
      </c>
      <c r="H150" s="1702" t="s">
        <v>55</v>
      </c>
      <c r="I150" s="154" t="s">
        <v>8</v>
      </c>
    </row>
    <row r="151" spans="1:9">
      <c r="A151" s="154" t="s">
        <v>8</v>
      </c>
      <c r="B151" s="1708">
        <v>121</v>
      </c>
      <c r="C151" s="1710" t="s">
        <v>48</v>
      </c>
      <c r="D151" s="1710" t="s">
        <v>811</v>
      </c>
      <c r="E151" s="1714">
        <v>35</v>
      </c>
      <c r="F151" s="1710" t="s">
        <v>812</v>
      </c>
      <c r="G151" s="1716">
        <v>1</v>
      </c>
      <c r="H151" s="1702" t="s">
        <v>55</v>
      </c>
      <c r="I151" s="154" t="s">
        <v>8</v>
      </c>
    </row>
    <row r="152" spans="1:9">
      <c r="A152" s="154" t="s">
        <v>8</v>
      </c>
      <c r="B152" s="1708">
        <v>122</v>
      </c>
      <c r="C152" s="1710" t="s">
        <v>48</v>
      </c>
      <c r="D152" s="1710" t="s">
        <v>813</v>
      </c>
      <c r="E152" s="1714">
        <v>35</v>
      </c>
      <c r="F152" s="1710" t="s">
        <v>814</v>
      </c>
      <c r="G152" s="1716">
        <v>1</v>
      </c>
      <c r="H152" s="1702" t="s">
        <v>55</v>
      </c>
      <c r="I152" s="154" t="s">
        <v>8</v>
      </c>
    </row>
    <row r="153" spans="1:9">
      <c r="A153" s="154" t="s">
        <v>8</v>
      </c>
      <c r="B153" s="1708">
        <v>123</v>
      </c>
      <c r="C153" s="1710" t="s">
        <v>48</v>
      </c>
      <c r="D153" s="1710" t="s">
        <v>815</v>
      </c>
      <c r="E153" s="1714">
        <v>35</v>
      </c>
      <c r="F153" s="1710" t="s">
        <v>816</v>
      </c>
      <c r="G153" s="1716">
        <v>1</v>
      </c>
      <c r="H153" s="1702" t="s">
        <v>55</v>
      </c>
      <c r="I153" s="154" t="s">
        <v>8</v>
      </c>
    </row>
    <row r="154" spans="1:9">
      <c r="A154" s="154" t="s">
        <v>8</v>
      </c>
      <c r="B154" s="1708">
        <v>124</v>
      </c>
      <c r="C154" s="1710" t="s">
        <v>48</v>
      </c>
      <c r="D154" s="1710" t="s">
        <v>817</v>
      </c>
      <c r="E154" s="1714">
        <v>35</v>
      </c>
      <c r="F154" s="1710" t="s">
        <v>818</v>
      </c>
      <c r="G154" s="1716">
        <v>1</v>
      </c>
      <c r="H154" s="1702" t="s">
        <v>55</v>
      </c>
      <c r="I154" s="154" t="s">
        <v>8</v>
      </c>
    </row>
    <row r="155" spans="1:9">
      <c r="A155" s="154" t="s">
        <v>8</v>
      </c>
      <c r="B155" s="1708">
        <v>125</v>
      </c>
      <c r="C155" s="1710" t="s">
        <v>48</v>
      </c>
      <c r="D155" s="1710" t="s">
        <v>819</v>
      </c>
      <c r="E155" s="1714">
        <v>35</v>
      </c>
      <c r="F155" s="1710" t="s">
        <v>820</v>
      </c>
      <c r="G155" s="1716">
        <v>1</v>
      </c>
      <c r="H155" s="1702" t="s">
        <v>55</v>
      </c>
      <c r="I155" s="154" t="s">
        <v>8</v>
      </c>
    </row>
    <row r="156" spans="1:9">
      <c r="A156" s="154" t="s">
        <v>8</v>
      </c>
      <c r="B156" s="1708">
        <v>126</v>
      </c>
      <c r="C156" s="1710" t="s">
        <v>48</v>
      </c>
      <c r="D156" s="1710" t="s">
        <v>821</v>
      </c>
      <c r="E156" s="1714">
        <v>35</v>
      </c>
      <c r="F156" s="1710" t="s">
        <v>822</v>
      </c>
      <c r="G156" s="1716">
        <v>1</v>
      </c>
      <c r="H156" s="1702" t="s">
        <v>55</v>
      </c>
      <c r="I156" s="154" t="s">
        <v>8</v>
      </c>
    </row>
    <row r="157" spans="1:9">
      <c r="A157" s="154" t="s">
        <v>8</v>
      </c>
      <c r="B157" s="1708">
        <v>127</v>
      </c>
      <c r="C157" s="1710" t="s">
        <v>48</v>
      </c>
      <c r="D157" s="1710" t="s">
        <v>823</v>
      </c>
      <c r="E157" s="1714">
        <v>35</v>
      </c>
      <c r="F157" s="1710" t="s">
        <v>824</v>
      </c>
      <c r="G157" s="1716">
        <v>1</v>
      </c>
      <c r="H157" s="1702" t="s">
        <v>55</v>
      </c>
      <c r="I157" s="154" t="s">
        <v>8</v>
      </c>
    </row>
    <row r="158" spans="1:9">
      <c r="A158" s="154" t="s">
        <v>8</v>
      </c>
      <c r="B158" s="1708">
        <v>128</v>
      </c>
      <c r="C158" s="1710" t="s">
        <v>48</v>
      </c>
      <c r="D158" s="1710" t="s">
        <v>825</v>
      </c>
      <c r="E158" s="1714">
        <v>35</v>
      </c>
      <c r="F158" s="1710" t="s">
        <v>826</v>
      </c>
      <c r="G158" s="1716">
        <v>1</v>
      </c>
      <c r="H158" s="1702" t="s">
        <v>55</v>
      </c>
      <c r="I158" s="154" t="s">
        <v>8</v>
      </c>
    </row>
    <row r="159" spans="1:9">
      <c r="A159" s="154" t="s">
        <v>8</v>
      </c>
      <c r="B159" s="1708">
        <v>129</v>
      </c>
      <c r="C159" s="1710" t="s">
        <v>48</v>
      </c>
      <c r="D159" s="1710" t="s">
        <v>827</v>
      </c>
      <c r="E159" s="1714">
        <v>35</v>
      </c>
      <c r="F159" s="1710" t="s">
        <v>828</v>
      </c>
      <c r="G159" s="1716">
        <v>1</v>
      </c>
      <c r="H159" s="1702" t="s">
        <v>55</v>
      </c>
      <c r="I159" s="154" t="s">
        <v>8</v>
      </c>
    </row>
    <row r="160" spans="1:9">
      <c r="A160" s="154" t="s">
        <v>8</v>
      </c>
      <c r="B160" s="1708">
        <v>130</v>
      </c>
      <c r="C160" s="1710" t="s">
        <v>48</v>
      </c>
      <c r="D160" s="1710" t="s">
        <v>829</v>
      </c>
      <c r="E160" s="1714">
        <v>35</v>
      </c>
      <c r="F160" s="1710" t="s">
        <v>830</v>
      </c>
      <c r="G160" s="1716">
        <v>1</v>
      </c>
      <c r="H160" s="1702" t="s">
        <v>55</v>
      </c>
      <c r="I160" s="154" t="s">
        <v>8</v>
      </c>
    </row>
    <row r="161" spans="1:9">
      <c r="A161" s="154" t="s">
        <v>8</v>
      </c>
      <c r="B161" s="1708">
        <v>131</v>
      </c>
      <c r="C161" s="1710" t="s">
        <v>48</v>
      </c>
      <c r="D161" s="1710" t="s">
        <v>831</v>
      </c>
      <c r="E161" s="1714">
        <v>35</v>
      </c>
      <c r="F161" s="1710" t="s">
        <v>832</v>
      </c>
      <c r="G161" s="1716">
        <v>1</v>
      </c>
      <c r="H161" s="1702" t="s">
        <v>55</v>
      </c>
      <c r="I161" s="154" t="s">
        <v>8</v>
      </c>
    </row>
    <row r="162" spans="1:9">
      <c r="A162" s="154" t="s">
        <v>8</v>
      </c>
      <c r="B162" s="1708">
        <v>132</v>
      </c>
      <c r="C162" s="1710" t="s">
        <v>48</v>
      </c>
      <c r="D162" s="1710" t="s">
        <v>833</v>
      </c>
      <c r="E162" s="1714">
        <v>35</v>
      </c>
      <c r="F162" s="1710" t="s">
        <v>834</v>
      </c>
      <c r="G162" s="1716">
        <v>1</v>
      </c>
      <c r="H162" s="1702" t="s">
        <v>55</v>
      </c>
      <c r="I162" s="154" t="s">
        <v>8</v>
      </c>
    </row>
    <row r="163" spans="1:9">
      <c r="A163" s="154" t="s">
        <v>8</v>
      </c>
      <c r="B163" s="1708">
        <v>133</v>
      </c>
      <c r="C163" s="1710" t="s">
        <v>48</v>
      </c>
      <c r="D163" s="1710" t="s">
        <v>835</v>
      </c>
      <c r="E163" s="1714">
        <v>35</v>
      </c>
      <c r="F163" s="1710" t="s">
        <v>836</v>
      </c>
      <c r="G163" s="1716">
        <v>1</v>
      </c>
      <c r="H163" s="1702" t="s">
        <v>55</v>
      </c>
      <c r="I163" s="154" t="s">
        <v>8</v>
      </c>
    </row>
    <row r="164" spans="1:9">
      <c r="A164" s="154" t="s">
        <v>8</v>
      </c>
      <c r="B164" s="1708">
        <v>134</v>
      </c>
      <c r="C164" s="1710" t="s">
        <v>48</v>
      </c>
      <c r="D164" s="1710" t="s">
        <v>837</v>
      </c>
      <c r="E164" s="1714">
        <v>35</v>
      </c>
      <c r="F164" s="1710" t="s">
        <v>838</v>
      </c>
      <c r="G164" s="1716">
        <v>1</v>
      </c>
      <c r="H164" s="1702" t="s">
        <v>55</v>
      </c>
      <c r="I164" s="154" t="s">
        <v>8</v>
      </c>
    </row>
    <row r="165" spans="1:9">
      <c r="A165" s="154" t="s">
        <v>8</v>
      </c>
      <c r="B165" s="1708">
        <v>135</v>
      </c>
      <c r="C165" s="1710" t="s">
        <v>48</v>
      </c>
      <c r="D165" s="1710" t="s">
        <v>839</v>
      </c>
      <c r="E165" s="1714">
        <v>35</v>
      </c>
      <c r="F165" s="1710" t="s">
        <v>840</v>
      </c>
      <c r="G165" s="1716">
        <v>1</v>
      </c>
      <c r="H165" s="1702" t="s">
        <v>55</v>
      </c>
      <c r="I165" s="154" t="s">
        <v>8</v>
      </c>
    </row>
    <row r="166" spans="1:9">
      <c r="A166" s="154" t="s">
        <v>8</v>
      </c>
      <c r="B166" s="1708">
        <v>136</v>
      </c>
      <c r="C166" s="1710" t="s">
        <v>48</v>
      </c>
      <c r="D166" s="1710" t="s">
        <v>841</v>
      </c>
      <c r="E166" s="1714">
        <v>35</v>
      </c>
      <c r="F166" s="1710" t="s">
        <v>842</v>
      </c>
      <c r="G166" s="1716">
        <v>1</v>
      </c>
      <c r="H166" s="1702" t="s">
        <v>55</v>
      </c>
      <c r="I166" s="154" t="s">
        <v>8</v>
      </c>
    </row>
    <row r="167" spans="1:9">
      <c r="A167" s="154" t="s">
        <v>8</v>
      </c>
      <c r="B167" s="1708">
        <v>137</v>
      </c>
      <c r="C167" s="1710" t="s">
        <v>27</v>
      </c>
      <c r="D167" s="1710" t="s">
        <v>843</v>
      </c>
      <c r="E167" s="1714">
        <v>5</v>
      </c>
      <c r="F167" s="1710" t="s">
        <v>844</v>
      </c>
      <c r="G167" s="1716">
        <v>0</v>
      </c>
      <c r="H167" s="1702" t="s">
        <v>55</v>
      </c>
      <c r="I167" s="154" t="s">
        <v>8</v>
      </c>
    </row>
    <row r="168" spans="1:9">
      <c r="A168" s="154" t="s">
        <v>8</v>
      </c>
      <c r="B168" s="1708">
        <v>138</v>
      </c>
      <c r="C168" s="1710" t="s">
        <v>27</v>
      </c>
      <c r="D168" s="1710" t="s">
        <v>845</v>
      </c>
      <c r="E168" s="1714">
        <v>35</v>
      </c>
      <c r="F168" s="1710" t="s">
        <v>846</v>
      </c>
      <c r="G168" s="1716">
        <v>0</v>
      </c>
      <c r="H168" s="1702" t="s">
        <v>55</v>
      </c>
      <c r="I168" s="154" t="s">
        <v>8</v>
      </c>
    </row>
    <row r="169" spans="1:9">
      <c r="A169" s="154" t="s">
        <v>8</v>
      </c>
      <c r="B169" s="1708">
        <v>139</v>
      </c>
      <c r="C169" s="1710" t="s">
        <v>27</v>
      </c>
      <c r="D169" s="1710" t="s">
        <v>847</v>
      </c>
      <c r="E169" s="1714">
        <v>35</v>
      </c>
      <c r="F169" s="1710" t="s">
        <v>848</v>
      </c>
      <c r="G169" s="1716">
        <v>0</v>
      </c>
      <c r="H169" s="1702" t="s">
        <v>55</v>
      </c>
      <c r="I169" s="154" t="s">
        <v>8</v>
      </c>
    </row>
    <row r="170" spans="1:9">
      <c r="A170" s="154" t="s">
        <v>8</v>
      </c>
      <c r="B170" s="1708">
        <v>140</v>
      </c>
      <c r="C170" s="1710" t="s">
        <v>27</v>
      </c>
      <c r="D170" s="1710" t="s">
        <v>849</v>
      </c>
      <c r="E170" s="1714">
        <v>35</v>
      </c>
      <c r="F170" s="1710" t="s">
        <v>850</v>
      </c>
      <c r="G170" s="1716">
        <v>0</v>
      </c>
      <c r="H170" s="1702" t="s">
        <v>55</v>
      </c>
      <c r="I170" s="154" t="s">
        <v>8</v>
      </c>
    </row>
    <row r="171" spans="1:9">
      <c r="A171" s="154" t="s">
        <v>8</v>
      </c>
      <c r="B171" s="1708">
        <v>141</v>
      </c>
      <c r="C171" s="1710" t="s">
        <v>27</v>
      </c>
      <c r="D171" s="1710" t="s">
        <v>851</v>
      </c>
      <c r="E171" s="1714">
        <v>35</v>
      </c>
      <c r="F171" s="1710" t="s">
        <v>852</v>
      </c>
      <c r="G171" s="1716">
        <v>0</v>
      </c>
      <c r="H171" s="1702" t="s">
        <v>55</v>
      </c>
      <c r="I171" s="154" t="s">
        <v>8</v>
      </c>
    </row>
    <row r="172" spans="1:9">
      <c r="A172" s="154" t="s">
        <v>8</v>
      </c>
      <c r="B172" s="1708">
        <v>142</v>
      </c>
      <c r="C172" s="1710" t="s">
        <v>27</v>
      </c>
      <c r="D172" s="1710" t="s">
        <v>853</v>
      </c>
      <c r="E172" s="1714">
        <v>35</v>
      </c>
      <c r="F172" s="1710" t="s">
        <v>854</v>
      </c>
      <c r="G172" s="1716">
        <v>0</v>
      </c>
      <c r="H172" s="1702" t="s">
        <v>55</v>
      </c>
      <c r="I172" s="154" t="s">
        <v>8</v>
      </c>
    </row>
    <row r="173" spans="1:9">
      <c r="A173" s="154" t="s">
        <v>8</v>
      </c>
      <c r="B173" s="1708">
        <v>143</v>
      </c>
      <c r="C173" s="1710" t="s">
        <v>27</v>
      </c>
      <c r="D173" s="1710" t="s">
        <v>855</v>
      </c>
      <c r="E173" s="1714">
        <v>35</v>
      </c>
      <c r="F173" s="1710" t="s">
        <v>856</v>
      </c>
      <c r="G173" s="1716">
        <v>0</v>
      </c>
      <c r="H173" s="1702" t="s">
        <v>55</v>
      </c>
      <c r="I173" s="154" t="s">
        <v>8</v>
      </c>
    </row>
    <row r="174" spans="1:9">
      <c r="A174" s="154" t="s">
        <v>8</v>
      </c>
      <c r="B174" s="1708">
        <v>144</v>
      </c>
      <c r="C174" s="1710" t="s">
        <v>27</v>
      </c>
      <c r="D174" s="1710" t="s">
        <v>857</v>
      </c>
      <c r="E174" s="1714">
        <v>35</v>
      </c>
      <c r="F174" s="1710" t="s">
        <v>858</v>
      </c>
      <c r="G174" s="1716">
        <v>0</v>
      </c>
      <c r="H174" s="1702" t="s">
        <v>55</v>
      </c>
      <c r="I174" s="154" t="s">
        <v>8</v>
      </c>
    </row>
    <row r="175" spans="1:9">
      <c r="A175" s="154" t="s">
        <v>8</v>
      </c>
      <c r="B175" s="1708">
        <v>145</v>
      </c>
      <c r="C175" s="1710" t="s">
        <v>27</v>
      </c>
      <c r="D175" s="1710" t="s">
        <v>859</v>
      </c>
      <c r="E175" s="1714">
        <v>35</v>
      </c>
      <c r="F175" s="1710" t="s">
        <v>860</v>
      </c>
      <c r="G175" s="1716">
        <v>0</v>
      </c>
      <c r="H175" s="1702" t="s">
        <v>55</v>
      </c>
      <c r="I175" s="154" t="s">
        <v>8</v>
      </c>
    </row>
    <row r="176" spans="1:9">
      <c r="A176" s="154" t="s">
        <v>8</v>
      </c>
      <c r="B176" s="1708">
        <v>146</v>
      </c>
      <c r="C176" s="1710" t="s">
        <v>27</v>
      </c>
      <c r="D176" s="1710" t="s">
        <v>861</v>
      </c>
      <c r="E176" s="1714">
        <v>35</v>
      </c>
      <c r="F176" s="1710" t="s">
        <v>862</v>
      </c>
      <c r="G176" s="1716">
        <v>0</v>
      </c>
      <c r="H176" s="1702" t="s">
        <v>55</v>
      </c>
      <c r="I176" s="154" t="s">
        <v>8</v>
      </c>
    </row>
    <row r="177" spans="1:9">
      <c r="A177" s="154" t="s">
        <v>8</v>
      </c>
      <c r="B177" s="1708">
        <v>147</v>
      </c>
      <c r="C177" s="1710" t="s">
        <v>27</v>
      </c>
      <c r="D177" s="1710" t="s">
        <v>863</v>
      </c>
      <c r="E177" s="1714">
        <v>35</v>
      </c>
      <c r="F177" s="1710" t="s">
        <v>864</v>
      </c>
      <c r="G177" s="1716">
        <v>0</v>
      </c>
      <c r="H177" s="1702" t="s">
        <v>55</v>
      </c>
      <c r="I177" s="154" t="s">
        <v>8</v>
      </c>
    </row>
    <row r="178" spans="1:9">
      <c r="A178" s="154" t="s">
        <v>8</v>
      </c>
      <c r="B178" s="1708">
        <v>148</v>
      </c>
      <c r="C178" s="1710" t="s">
        <v>27</v>
      </c>
      <c r="D178" s="1710" t="s">
        <v>865</v>
      </c>
      <c r="E178" s="1714">
        <v>35</v>
      </c>
      <c r="F178" s="1710" t="s">
        <v>866</v>
      </c>
      <c r="G178" s="1716">
        <v>0</v>
      </c>
      <c r="H178" s="1702" t="s">
        <v>55</v>
      </c>
      <c r="I178" s="154" t="s">
        <v>8</v>
      </c>
    </row>
    <row r="179" spans="1:9">
      <c r="A179" s="154" t="s">
        <v>8</v>
      </c>
      <c r="B179" s="1708">
        <v>149</v>
      </c>
      <c r="C179" s="1710" t="s">
        <v>27</v>
      </c>
      <c r="D179" s="1710" t="s">
        <v>867</v>
      </c>
      <c r="E179" s="1714">
        <v>35</v>
      </c>
      <c r="F179" s="1710" t="s">
        <v>868</v>
      </c>
      <c r="G179" s="1716">
        <v>0</v>
      </c>
      <c r="H179" s="1702" t="s">
        <v>55</v>
      </c>
      <c r="I179" s="154" t="s">
        <v>8</v>
      </c>
    </row>
    <row r="180" spans="1:9">
      <c r="A180" s="154" t="s">
        <v>8</v>
      </c>
      <c r="B180" s="1708">
        <v>150</v>
      </c>
      <c r="C180" s="1710" t="s">
        <v>27</v>
      </c>
      <c r="D180" s="1710" t="s">
        <v>869</v>
      </c>
      <c r="E180" s="1714">
        <v>35</v>
      </c>
      <c r="F180" s="1710" t="s">
        <v>870</v>
      </c>
      <c r="G180" s="1716">
        <v>0</v>
      </c>
      <c r="H180" s="1702" t="s">
        <v>55</v>
      </c>
      <c r="I180" s="154" t="s">
        <v>8</v>
      </c>
    </row>
    <row r="181" spans="1:9">
      <c r="A181" s="154" t="s">
        <v>8</v>
      </c>
      <c r="B181" s="1708">
        <v>151</v>
      </c>
      <c r="C181" s="1710" t="s">
        <v>27</v>
      </c>
      <c r="D181" s="1710" t="s">
        <v>871</v>
      </c>
      <c r="E181" s="1714">
        <v>35</v>
      </c>
      <c r="F181" s="1710" t="s">
        <v>872</v>
      </c>
      <c r="G181" s="1716">
        <v>0</v>
      </c>
      <c r="H181" s="1702" t="s">
        <v>55</v>
      </c>
      <c r="I181" s="154" t="s">
        <v>8</v>
      </c>
    </row>
    <row r="182" spans="1:9">
      <c r="A182" s="154" t="s">
        <v>8</v>
      </c>
      <c r="B182" s="1708">
        <v>152</v>
      </c>
      <c r="C182" s="1710" t="s">
        <v>27</v>
      </c>
      <c r="D182" s="1710" t="s">
        <v>873</v>
      </c>
      <c r="E182" s="1714">
        <v>35</v>
      </c>
      <c r="F182" s="1710" t="s">
        <v>874</v>
      </c>
      <c r="G182" s="1716">
        <v>0</v>
      </c>
      <c r="H182" s="1702" t="s">
        <v>55</v>
      </c>
      <c r="I182" s="154" t="s">
        <v>8</v>
      </c>
    </row>
    <row r="183" spans="1:9">
      <c r="A183" s="154" t="s">
        <v>8</v>
      </c>
      <c r="B183" s="1708">
        <v>153</v>
      </c>
      <c r="C183" s="1710" t="s">
        <v>27</v>
      </c>
      <c r="D183" s="1710" t="s">
        <v>875</v>
      </c>
      <c r="E183" s="1714">
        <v>35</v>
      </c>
      <c r="F183" s="1710" t="s">
        <v>876</v>
      </c>
      <c r="G183" s="1716">
        <v>0</v>
      </c>
      <c r="H183" s="1702" t="s">
        <v>55</v>
      </c>
      <c r="I183" s="154" t="s">
        <v>8</v>
      </c>
    </row>
    <row r="184" spans="1:9">
      <c r="A184" s="154" t="s">
        <v>8</v>
      </c>
      <c r="B184" s="1708">
        <v>154</v>
      </c>
      <c r="C184" s="1710" t="s">
        <v>27</v>
      </c>
      <c r="D184" s="1710" t="s">
        <v>877</v>
      </c>
      <c r="E184" s="1714">
        <v>35</v>
      </c>
      <c r="F184" s="1710" t="s">
        <v>878</v>
      </c>
      <c r="G184" s="1716">
        <v>0</v>
      </c>
      <c r="H184" s="1702" t="s">
        <v>55</v>
      </c>
      <c r="I184" s="154" t="s">
        <v>8</v>
      </c>
    </row>
    <row r="185" spans="1:9">
      <c r="A185" s="154" t="s">
        <v>8</v>
      </c>
      <c r="B185" s="1708">
        <v>155</v>
      </c>
      <c r="C185" s="1710" t="s">
        <v>27</v>
      </c>
      <c r="D185" s="1710" t="s">
        <v>879</v>
      </c>
      <c r="E185" s="1714">
        <v>35</v>
      </c>
      <c r="F185" s="1710" t="s">
        <v>880</v>
      </c>
      <c r="G185" s="1716">
        <v>0</v>
      </c>
      <c r="H185" s="1702" t="s">
        <v>55</v>
      </c>
      <c r="I185" s="154" t="s">
        <v>8</v>
      </c>
    </row>
    <row r="186" spans="1:9">
      <c r="A186" s="154" t="s">
        <v>8</v>
      </c>
      <c r="B186" s="1708">
        <v>156</v>
      </c>
      <c r="C186" s="1710" t="s">
        <v>27</v>
      </c>
      <c r="D186" s="1710" t="s">
        <v>881</v>
      </c>
      <c r="E186" s="1714">
        <v>35</v>
      </c>
      <c r="F186" s="1710" t="s">
        <v>882</v>
      </c>
      <c r="G186" s="1716">
        <v>0</v>
      </c>
      <c r="H186" s="1702" t="s">
        <v>55</v>
      </c>
      <c r="I186" s="154" t="s">
        <v>8</v>
      </c>
    </row>
    <row r="187" spans="1:9">
      <c r="A187" s="154" t="s">
        <v>8</v>
      </c>
      <c r="B187" s="1708">
        <v>157</v>
      </c>
      <c r="C187" s="1710" t="s">
        <v>27</v>
      </c>
      <c r="D187" s="1710" t="s">
        <v>883</v>
      </c>
      <c r="E187" s="1714">
        <v>35</v>
      </c>
      <c r="F187" s="1710" t="s">
        <v>884</v>
      </c>
      <c r="G187" s="1716">
        <v>0</v>
      </c>
      <c r="H187" s="1702" t="s">
        <v>55</v>
      </c>
      <c r="I187" s="154" t="s">
        <v>8</v>
      </c>
    </row>
    <row r="188" spans="1:9">
      <c r="A188" s="154" t="s">
        <v>8</v>
      </c>
      <c r="B188" s="1708">
        <v>158</v>
      </c>
      <c r="C188" s="1710" t="s">
        <v>27</v>
      </c>
      <c r="D188" s="1710" t="s">
        <v>885</v>
      </c>
      <c r="E188" s="1714">
        <v>35</v>
      </c>
      <c r="F188" s="1710" t="s">
        <v>886</v>
      </c>
      <c r="G188" s="1716">
        <v>0</v>
      </c>
      <c r="H188" s="1702" t="s">
        <v>55</v>
      </c>
      <c r="I188" s="154" t="s">
        <v>8</v>
      </c>
    </row>
    <row r="189" spans="1:9">
      <c r="A189" s="154" t="s">
        <v>8</v>
      </c>
      <c r="B189" s="1708">
        <v>159</v>
      </c>
      <c r="C189" s="1710" t="s">
        <v>27</v>
      </c>
      <c r="D189" s="1710" t="s">
        <v>887</v>
      </c>
      <c r="E189" s="1714">
        <v>35</v>
      </c>
      <c r="F189" s="1710" t="s">
        <v>888</v>
      </c>
      <c r="G189" s="1716">
        <v>0</v>
      </c>
      <c r="H189" s="1702" t="s">
        <v>55</v>
      </c>
      <c r="I189" s="154" t="s">
        <v>8</v>
      </c>
    </row>
    <row r="190" spans="1:9">
      <c r="A190" s="154" t="s">
        <v>8</v>
      </c>
      <c r="B190" s="1708">
        <v>160</v>
      </c>
      <c r="C190" s="1710" t="s">
        <v>27</v>
      </c>
      <c r="D190" s="1710" t="s">
        <v>889</v>
      </c>
      <c r="E190" s="1714">
        <v>35</v>
      </c>
      <c r="F190" s="1710" t="s">
        <v>890</v>
      </c>
      <c r="G190" s="1716">
        <v>0</v>
      </c>
      <c r="H190" s="1702" t="s">
        <v>55</v>
      </c>
      <c r="I190" s="154" t="s">
        <v>8</v>
      </c>
    </row>
    <row r="191" spans="1:9">
      <c r="A191" s="154" t="s">
        <v>8</v>
      </c>
      <c r="B191" s="1708">
        <v>161</v>
      </c>
      <c r="C191" s="1710" t="s">
        <v>27</v>
      </c>
      <c r="D191" s="1710" t="s">
        <v>891</v>
      </c>
      <c r="E191" s="1714">
        <v>35</v>
      </c>
      <c r="F191" s="1710" t="s">
        <v>892</v>
      </c>
      <c r="G191" s="1716">
        <v>0</v>
      </c>
      <c r="H191" s="1702" t="s">
        <v>55</v>
      </c>
      <c r="I191" s="154" t="s">
        <v>8</v>
      </c>
    </row>
    <row r="192" spans="1:9">
      <c r="A192" s="154" t="s">
        <v>8</v>
      </c>
      <c r="B192" s="1708">
        <v>162</v>
      </c>
      <c r="C192" s="1710" t="s">
        <v>27</v>
      </c>
      <c r="D192" s="1710" t="s">
        <v>893</v>
      </c>
      <c r="E192" s="1714">
        <v>35</v>
      </c>
      <c r="F192" s="1710" t="s">
        <v>894</v>
      </c>
      <c r="G192" s="1716">
        <v>0</v>
      </c>
      <c r="H192" s="1702" t="s">
        <v>55</v>
      </c>
      <c r="I192" s="154" t="s">
        <v>8</v>
      </c>
    </row>
    <row r="193" spans="1:9">
      <c r="A193" s="154" t="s">
        <v>8</v>
      </c>
      <c r="B193" s="1708">
        <v>163</v>
      </c>
      <c r="C193" s="1710" t="s">
        <v>27</v>
      </c>
      <c r="D193" s="1710" t="s">
        <v>895</v>
      </c>
      <c r="E193" s="1714">
        <v>35</v>
      </c>
      <c r="F193" s="1710" t="s">
        <v>896</v>
      </c>
      <c r="G193" s="1716">
        <v>0</v>
      </c>
      <c r="H193" s="1702" t="s">
        <v>55</v>
      </c>
      <c r="I193" s="154" t="s">
        <v>8</v>
      </c>
    </row>
    <row r="194" spans="1:9">
      <c r="A194" s="154" t="s">
        <v>8</v>
      </c>
      <c r="B194" s="1708">
        <v>164</v>
      </c>
      <c r="C194" s="1710" t="s">
        <v>27</v>
      </c>
      <c r="D194" s="1710" t="s">
        <v>897</v>
      </c>
      <c r="E194" s="1714">
        <v>35</v>
      </c>
      <c r="F194" s="1710" t="s">
        <v>898</v>
      </c>
      <c r="G194" s="1716">
        <v>0</v>
      </c>
      <c r="H194" s="1702" t="s">
        <v>55</v>
      </c>
      <c r="I194" s="154" t="s">
        <v>8</v>
      </c>
    </row>
    <row r="195" spans="1:9">
      <c r="A195" s="154" t="s">
        <v>8</v>
      </c>
      <c r="B195" s="1708">
        <v>165</v>
      </c>
      <c r="C195" s="1710" t="s">
        <v>27</v>
      </c>
      <c r="D195" s="1710" t="s">
        <v>899</v>
      </c>
      <c r="E195" s="1714">
        <v>35</v>
      </c>
      <c r="F195" s="1710" t="s">
        <v>900</v>
      </c>
      <c r="G195" s="1716">
        <v>0</v>
      </c>
      <c r="H195" s="1702" t="s">
        <v>55</v>
      </c>
      <c r="I195" s="154" t="s">
        <v>8</v>
      </c>
    </row>
    <row r="196" spans="1:9">
      <c r="A196" s="154" t="s">
        <v>8</v>
      </c>
      <c r="B196" s="1708">
        <v>166</v>
      </c>
      <c r="C196" s="1710" t="s">
        <v>27</v>
      </c>
      <c r="D196" s="1710" t="s">
        <v>901</v>
      </c>
      <c r="E196" s="1714">
        <v>10000</v>
      </c>
      <c r="F196" s="1710" t="s">
        <v>848</v>
      </c>
      <c r="G196" s="1716">
        <v>0</v>
      </c>
      <c r="H196" s="1702" t="s">
        <v>55</v>
      </c>
      <c r="I196" s="154" t="s">
        <v>8</v>
      </c>
    </row>
    <row r="197" spans="1:9">
      <c r="A197" s="154" t="s">
        <v>8</v>
      </c>
      <c r="B197" s="1708">
        <v>167</v>
      </c>
      <c r="C197" s="1710" t="s">
        <v>27</v>
      </c>
      <c r="D197" s="1710" t="s">
        <v>902</v>
      </c>
      <c r="E197" s="1714">
        <v>28211.200000000001</v>
      </c>
      <c r="F197" s="1710" t="s">
        <v>903</v>
      </c>
      <c r="G197" s="1716">
        <v>0</v>
      </c>
      <c r="H197" s="1702" t="s">
        <v>55</v>
      </c>
      <c r="I197" s="154" t="s">
        <v>8</v>
      </c>
    </row>
    <row r="198" spans="1:9">
      <c r="A198" s="154" t="s">
        <v>8</v>
      </c>
      <c r="B198" s="1708">
        <v>168</v>
      </c>
      <c r="C198" s="1710" t="s">
        <v>27</v>
      </c>
      <c r="D198" s="1710" t="s">
        <v>904</v>
      </c>
      <c r="E198" s="1714">
        <v>50000</v>
      </c>
      <c r="F198" s="1710" t="s">
        <v>854</v>
      </c>
      <c r="G198" s="1716">
        <v>0</v>
      </c>
      <c r="H198" s="1702" t="s">
        <v>55</v>
      </c>
      <c r="I198" s="154" t="s">
        <v>8</v>
      </c>
    </row>
    <row r="199" spans="1:9">
      <c r="A199" s="154" t="s">
        <v>8</v>
      </c>
      <c r="B199" s="1708">
        <v>169</v>
      </c>
      <c r="C199" s="1710" t="s">
        <v>27</v>
      </c>
      <c r="D199" s="1710" t="s">
        <v>905</v>
      </c>
      <c r="E199" s="1714">
        <v>53200</v>
      </c>
      <c r="F199" s="1710" t="s">
        <v>906</v>
      </c>
      <c r="G199" s="1716">
        <v>0</v>
      </c>
      <c r="H199" s="1702" t="s">
        <v>55</v>
      </c>
      <c r="I199" s="154" t="s">
        <v>8</v>
      </c>
    </row>
    <row r="200" spans="1:9">
      <c r="A200" s="154" t="s">
        <v>8</v>
      </c>
      <c r="B200" s="1708">
        <v>170</v>
      </c>
      <c r="C200" s="1710" t="s">
        <v>27</v>
      </c>
      <c r="D200" s="1710" t="s">
        <v>907</v>
      </c>
      <c r="E200" s="1714">
        <v>98307.6</v>
      </c>
      <c r="F200" s="1710" t="s">
        <v>908</v>
      </c>
      <c r="G200" s="1716">
        <v>0</v>
      </c>
      <c r="H200" s="1702" t="s">
        <v>55</v>
      </c>
      <c r="I200" s="154" t="s">
        <v>8</v>
      </c>
    </row>
    <row r="201" spans="1:9">
      <c r="A201" s="154" t="s">
        <v>8</v>
      </c>
      <c r="B201" s="1708">
        <v>171</v>
      </c>
      <c r="C201" s="1710" t="s">
        <v>27</v>
      </c>
      <c r="D201" s="1710" t="s">
        <v>909</v>
      </c>
      <c r="E201" s="1714">
        <v>100000</v>
      </c>
      <c r="F201" s="1710" t="s">
        <v>874</v>
      </c>
      <c r="G201" s="1716">
        <v>0</v>
      </c>
      <c r="H201" s="1702" t="s">
        <v>55</v>
      </c>
      <c r="I201" s="154" t="s">
        <v>8</v>
      </c>
    </row>
    <row r="202" spans="1:9">
      <c r="A202" s="154" t="s">
        <v>8</v>
      </c>
      <c r="B202" s="1708">
        <v>172</v>
      </c>
      <c r="C202" s="1710" t="s">
        <v>27</v>
      </c>
      <c r="D202" s="1710" t="s">
        <v>910</v>
      </c>
      <c r="E202" s="1714">
        <v>140557.70000000001</v>
      </c>
      <c r="F202" s="1710" t="s">
        <v>911</v>
      </c>
      <c r="G202" s="1716">
        <v>0</v>
      </c>
      <c r="H202" s="1702" t="s">
        <v>55</v>
      </c>
      <c r="I202" s="154" t="s">
        <v>8</v>
      </c>
    </row>
    <row r="203" spans="1:9">
      <c r="A203" s="154" t="s">
        <v>8</v>
      </c>
      <c r="B203" s="1708">
        <v>173</v>
      </c>
      <c r="C203" s="1710" t="s">
        <v>27</v>
      </c>
      <c r="D203" s="1710" t="s">
        <v>912</v>
      </c>
      <c r="E203" s="1714">
        <v>560000</v>
      </c>
      <c r="F203" s="1710" t="s">
        <v>913</v>
      </c>
      <c r="G203" s="1716">
        <v>0</v>
      </c>
      <c r="H203" s="1702" t="s">
        <v>55</v>
      </c>
      <c r="I203" s="154" t="s">
        <v>8</v>
      </c>
    </row>
    <row r="204" spans="1:9">
      <c r="A204" s="154" t="s">
        <v>8</v>
      </c>
      <c r="B204" s="1708">
        <v>174</v>
      </c>
      <c r="C204" s="1710" t="s">
        <v>27</v>
      </c>
      <c r="D204" s="1710" t="s">
        <v>914</v>
      </c>
      <c r="E204" s="1714">
        <v>5500000</v>
      </c>
      <c r="F204" s="1710" t="s">
        <v>915</v>
      </c>
      <c r="G204" s="1716">
        <v>0</v>
      </c>
      <c r="H204" s="1702" t="s">
        <v>55</v>
      </c>
      <c r="I204" s="154" t="s">
        <v>8</v>
      </c>
    </row>
    <row r="205" spans="1:9">
      <c r="A205" s="154" t="s">
        <v>8</v>
      </c>
      <c r="B205" s="1708" t="s">
        <v>8</v>
      </c>
      <c r="C205" s="1710" t="s">
        <v>8</v>
      </c>
      <c r="D205" s="1710" t="s">
        <v>8</v>
      </c>
      <c r="E205" s="1714" t="s">
        <v>8</v>
      </c>
      <c r="F205" s="1710" t="s">
        <v>8</v>
      </c>
      <c r="G205" s="1716" t="s">
        <v>8</v>
      </c>
      <c r="H205" s="1702" t="s">
        <v>8</v>
      </c>
      <c r="I205" s="154" t="s">
        <v>8</v>
      </c>
    </row>
    <row r="206" spans="1:9" ht="15.75" thickBot="1">
      <c r="A206" s="154" t="s">
        <v>8</v>
      </c>
      <c r="B206" s="1709" t="s">
        <v>8</v>
      </c>
      <c r="C206" s="1711" t="s">
        <v>8</v>
      </c>
      <c r="D206" s="1713" t="s">
        <v>51</v>
      </c>
      <c r="E206" s="1715">
        <f>SUM($E$31:$E$205)</f>
        <v>6546021.5</v>
      </c>
      <c r="F206" s="1711" t="s">
        <v>8</v>
      </c>
      <c r="G206" s="1717" t="s">
        <v>8</v>
      </c>
      <c r="H206" s="1697" t="s">
        <v>8</v>
      </c>
      <c r="I206" s="154" t="s">
        <v>8</v>
      </c>
    </row>
    <row r="207" spans="1:9" ht="15.75" thickTop="1">
      <c r="A207" s="154" t="s">
        <v>8</v>
      </c>
      <c r="B207" s="1699" t="s">
        <v>8</v>
      </c>
      <c r="C207" s="154" t="s">
        <v>8</v>
      </c>
      <c r="D207" s="154" t="s">
        <v>8</v>
      </c>
      <c r="E207" s="155" t="s">
        <v>8</v>
      </c>
      <c r="F207" s="154" t="s">
        <v>8</v>
      </c>
      <c r="G207" s="1698" t="s">
        <v>8</v>
      </c>
      <c r="H207" s="154" t="s">
        <v>8</v>
      </c>
      <c r="I207" s="154" t="s">
        <v>8</v>
      </c>
    </row>
    <row r="208" spans="1:9" ht="15.75" thickBot="1">
      <c r="A208" s="154" t="s">
        <v>8</v>
      </c>
      <c r="B208" s="1699" t="s">
        <v>8</v>
      </c>
      <c r="C208" s="154" t="s">
        <v>8</v>
      </c>
      <c r="D208" s="154" t="s">
        <v>8</v>
      </c>
      <c r="E208" s="155" t="s">
        <v>8</v>
      </c>
      <c r="F208" s="154" t="s">
        <v>8</v>
      </c>
      <c r="G208" s="1698" t="s">
        <v>8</v>
      </c>
      <c r="H208" s="154" t="s">
        <v>8</v>
      </c>
      <c r="I208" s="154" t="s">
        <v>8</v>
      </c>
    </row>
    <row r="209" spans="1:9" ht="15.75" thickTop="1">
      <c r="A209" s="154" t="s">
        <v>8</v>
      </c>
      <c r="B209" s="1721" t="s">
        <v>8</v>
      </c>
      <c r="C209" s="1707" t="s">
        <v>8</v>
      </c>
      <c r="D209" s="1712" t="s">
        <v>534</v>
      </c>
      <c r="E209" s="1722" t="s">
        <v>8</v>
      </c>
      <c r="F209" s="1707" t="s">
        <v>8</v>
      </c>
      <c r="G209" s="1723" t="s">
        <v>8</v>
      </c>
      <c r="H209" s="1694" t="s">
        <v>8</v>
      </c>
      <c r="I209" s="154" t="s">
        <v>8</v>
      </c>
    </row>
    <row r="210" spans="1:9">
      <c r="A210" s="154" t="s">
        <v>8</v>
      </c>
      <c r="B210" s="1708">
        <v>1</v>
      </c>
      <c r="C210" s="1710" t="s">
        <v>221</v>
      </c>
      <c r="D210" s="1710" t="s">
        <v>916</v>
      </c>
      <c r="E210" s="1714">
        <v>260</v>
      </c>
      <c r="F210" s="1710" t="s">
        <v>916</v>
      </c>
      <c r="G210" s="1716">
        <v>13</v>
      </c>
      <c r="H210" s="1702" t="s">
        <v>88</v>
      </c>
      <c r="I210" s="154" t="s">
        <v>8</v>
      </c>
    </row>
    <row r="211" spans="1:9">
      <c r="A211" s="154" t="s">
        <v>8</v>
      </c>
      <c r="B211" s="1708">
        <v>2</v>
      </c>
      <c r="C211" s="1710" t="s">
        <v>917</v>
      </c>
      <c r="D211" s="1710" t="s">
        <v>918</v>
      </c>
      <c r="E211" s="1714">
        <v>3985</v>
      </c>
      <c r="F211" s="1710" t="s">
        <v>919</v>
      </c>
      <c r="G211" s="1716">
        <v>10</v>
      </c>
      <c r="H211" s="1702" t="s">
        <v>88</v>
      </c>
      <c r="I211" s="154" t="s">
        <v>8</v>
      </c>
    </row>
    <row r="212" spans="1:9">
      <c r="A212" s="154" t="s">
        <v>8</v>
      </c>
      <c r="B212" s="1708">
        <v>3</v>
      </c>
      <c r="C212" s="1710" t="s">
        <v>141</v>
      </c>
      <c r="D212" s="1710" t="s">
        <v>920</v>
      </c>
      <c r="E212" s="1714">
        <v>1350</v>
      </c>
      <c r="F212" s="1710" t="s">
        <v>920</v>
      </c>
      <c r="G212" s="1716">
        <v>7</v>
      </c>
      <c r="H212" s="1702" t="s">
        <v>88</v>
      </c>
      <c r="I212" s="154" t="s">
        <v>8</v>
      </c>
    </row>
    <row r="213" spans="1:9">
      <c r="A213" s="154" t="s">
        <v>8</v>
      </c>
      <c r="B213" s="1708">
        <v>4</v>
      </c>
      <c r="C213" s="1710" t="s">
        <v>190</v>
      </c>
      <c r="D213" s="1710" t="s">
        <v>921</v>
      </c>
      <c r="E213" s="1714">
        <v>310000</v>
      </c>
      <c r="F213" s="1710" t="s">
        <v>921</v>
      </c>
      <c r="G213" s="1716">
        <v>6</v>
      </c>
      <c r="H213" s="1702" t="s">
        <v>88</v>
      </c>
      <c r="I213" s="154" t="s">
        <v>8</v>
      </c>
    </row>
    <row r="214" spans="1:9">
      <c r="A214" s="154" t="s">
        <v>8</v>
      </c>
      <c r="B214" s="1708">
        <v>5</v>
      </c>
      <c r="C214" s="1710" t="s">
        <v>38</v>
      </c>
      <c r="D214" s="1710" t="s">
        <v>922</v>
      </c>
      <c r="E214" s="1714">
        <v>29965</v>
      </c>
      <c r="F214" s="1710" t="s">
        <v>922</v>
      </c>
      <c r="G214" s="1716">
        <v>3</v>
      </c>
      <c r="H214" s="1702" t="s">
        <v>88</v>
      </c>
      <c r="I214" s="154" t="s">
        <v>8</v>
      </c>
    </row>
    <row r="215" spans="1:9">
      <c r="A215" s="154" t="s">
        <v>8</v>
      </c>
      <c r="B215" s="1708">
        <v>6</v>
      </c>
      <c r="C215" s="1710" t="s">
        <v>48</v>
      </c>
      <c r="D215" s="1710" t="s">
        <v>923</v>
      </c>
      <c r="E215" s="1714">
        <v>798.85</v>
      </c>
      <c r="F215" s="1710" t="s">
        <v>923</v>
      </c>
      <c r="G215" s="1716">
        <v>1</v>
      </c>
      <c r="H215" s="1702" t="s">
        <v>88</v>
      </c>
      <c r="I215" s="154" t="s">
        <v>8</v>
      </c>
    </row>
    <row r="216" spans="1:9">
      <c r="A216" s="154" t="s">
        <v>8</v>
      </c>
      <c r="B216" s="1708">
        <v>7</v>
      </c>
      <c r="C216" s="1710" t="s">
        <v>48</v>
      </c>
      <c r="D216" s="1710" t="s">
        <v>924</v>
      </c>
      <c r="E216" s="1714">
        <v>1569.2</v>
      </c>
      <c r="F216" s="1710" t="s">
        <v>924</v>
      </c>
      <c r="G216" s="1716">
        <v>1</v>
      </c>
      <c r="H216" s="1702" t="s">
        <v>88</v>
      </c>
      <c r="I216" s="154" t="s">
        <v>8</v>
      </c>
    </row>
    <row r="217" spans="1:9">
      <c r="A217" s="154" t="s">
        <v>8</v>
      </c>
      <c r="B217" s="1708">
        <v>8</v>
      </c>
      <c r="C217" s="1710" t="s">
        <v>48</v>
      </c>
      <c r="D217" s="1710" t="s">
        <v>925</v>
      </c>
      <c r="E217" s="1714">
        <v>4977</v>
      </c>
      <c r="F217" s="1710" t="s">
        <v>925</v>
      </c>
      <c r="G217" s="1716">
        <v>1</v>
      </c>
      <c r="H217" s="1702" t="s">
        <v>88</v>
      </c>
      <c r="I217" s="154" t="s">
        <v>8</v>
      </c>
    </row>
    <row r="218" spans="1:9">
      <c r="A218" s="154" t="s">
        <v>8</v>
      </c>
      <c r="B218" s="1708">
        <v>9</v>
      </c>
      <c r="C218" s="1710" t="s">
        <v>48</v>
      </c>
      <c r="D218" s="1710" t="s">
        <v>926</v>
      </c>
      <c r="E218" s="1714">
        <v>98990</v>
      </c>
      <c r="F218" s="1710" t="s">
        <v>926</v>
      </c>
      <c r="G218" s="1716">
        <v>1</v>
      </c>
      <c r="H218" s="1702" t="s">
        <v>88</v>
      </c>
      <c r="I218" s="154" t="s">
        <v>8</v>
      </c>
    </row>
    <row r="219" spans="1:9">
      <c r="A219" s="154" t="s">
        <v>8</v>
      </c>
      <c r="B219" s="1708">
        <v>10</v>
      </c>
      <c r="C219" s="1710" t="s">
        <v>27</v>
      </c>
      <c r="D219" s="1710" t="s">
        <v>927</v>
      </c>
      <c r="E219" s="1714">
        <v>420</v>
      </c>
      <c r="F219" s="1710" t="s">
        <v>928</v>
      </c>
      <c r="G219" s="1716">
        <v>0</v>
      </c>
      <c r="H219" s="1702" t="s">
        <v>88</v>
      </c>
      <c r="I219" s="154" t="s">
        <v>8</v>
      </c>
    </row>
    <row r="220" spans="1:9">
      <c r="A220" s="154" t="s">
        <v>8</v>
      </c>
      <c r="B220" s="1708">
        <v>11</v>
      </c>
      <c r="C220" s="1710" t="s">
        <v>27</v>
      </c>
      <c r="D220" s="1710" t="s">
        <v>929</v>
      </c>
      <c r="E220" s="1714">
        <v>6805.56</v>
      </c>
      <c r="F220" s="1710" t="s">
        <v>930</v>
      </c>
      <c r="G220" s="1716">
        <v>0</v>
      </c>
      <c r="H220" s="1702" t="s">
        <v>88</v>
      </c>
      <c r="I220" s="154" t="s">
        <v>8</v>
      </c>
    </row>
    <row r="221" spans="1:9">
      <c r="A221" s="154" t="s">
        <v>8</v>
      </c>
      <c r="B221" s="1708">
        <v>12</v>
      </c>
      <c r="C221" s="1710" t="s">
        <v>27</v>
      </c>
      <c r="D221" s="1710" t="s">
        <v>931</v>
      </c>
      <c r="E221" s="1714">
        <v>260000</v>
      </c>
      <c r="F221" s="1710" t="s">
        <v>932</v>
      </c>
      <c r="G221" s="1716">
        <v>0</v>
      </c>
      <c r="H221" s="1702" t="s">
        <v>88</v>
      </c>
      <c r="I221" s="154" t="s">
        <v>8</v>
      </c>
    </row>
    <row r="222" spans="1:9">
      <c r="A222" s="154" t="s">
        <v>8</v>
      </c>
      <c r="B222" s="1708">
        <v>13</v>
      </c>
      <c r="C222" s="1710" t="s">
        <v>27</v>
      </c>
      <c r="D222" s="1710" t="s">
        <v>933</v>
      </c>
      <c r="E222" s="1714">
        <v>659986</v>
      </c>
      <c r="F222" s="1710" t="s">
        <v>934</v>
      </c>
      <c r="G222" s="1716">
        <v>0</v>
      </c>
      <c r="H222" s="1702" t="s">
        <v>88</v>
      </c>
      <c r="I222" s="154" t="s">
        <v>8</v>
      </c>
    </row>
    <row r="223" spans="1:9">
      <c r="A223" s="154" t="s">
        <v>8</v>
      </c>
      <c r="B223" s="1708">
        <v>14</v>
      </c>
      <c r="C223" s="1710" t="s">
        <v>27</v>
      </c>
      <c r="D223" s="1710" t="s">
        <v>935</v>
      </c>
      <c r="E223" s="1714">
        <v>5000000</v>
      </c>
      <c r="F223" s="1710" t="s">
        <v>936</v>
      </c>
      <c r="G223" s="1716">
        <v>0</v>
      </c>
      <c r="H223" s="1702" t="s">
        <v>88</v>
      </c>
      <c r="I223" s="154" t="s">
        <v>8</v>
      </c>
    </row>
    <row r="224" spans="1:9">
      <c r="A224" s="154" t="s">
        <v>8</v>
      </c>
      <c r="B224" s="1708" t="s">
        <v>8</v>
      </c>
      <c r="C224" s="1710" t="s">
        <v>8</v>
      </c>
      <c r="D224" s="1710" t="s">
        <v>8</v>
      </c>
      <c r="E224" s="1714" t="s">
        <v>8</v>
      </c>
      <c r="F224" s="1710" t="s">
        <v>8</v>
      </c>
      <c r="G224" s="1716" t="s">
        <v>8</v>
      </c>
      <c r="H224" s="1702" t="s">
        <v>8</v>
      </c>
      <c r="I224" s="154" t="s">
        <v>8</v>
      </c>
    </row>
    <row r="225" spans="1:9" ht="15.75" thickBot="1">
      <c r="A225" s="154" t="s">
        <v>8</v>
      </c>
      <c r="B225" s="1709" t="s">
        <v>8</v>
      </c>
      <c r="C225" s="1711" t="s">
        <v>8</v>
      </c>
      <c r="D225" s="1713" t="s">
        <v>51</v>
      </c>
      <c r="E225" s="1715">
        <f>SUM($E$210:$E$224)</f>
        <v>6379106.6099999994</v>
      </c>
      <c r="F225" s="1711" t="s">
        <v>8</v>
      </c>
      <c r="G225" s="1717" t="s">
        <v>8</v>
      </c>
      <c r="H225" s="1697" t="s">
        <v>8</v>
      </c>
      <c r="I225" s="154" t="s">
        <v>8</v>
      </c>
    </row>
    <row r="226" spans="1:9" ht="15.75" thickTop="1">
      <c r="A226" s="154" t="s">
        <v>8</v>
      </c>
      <c r="B226" s="1699" t="s">
        <v>8</v>
      </c>
      <c r="C226" s="154" t="s">
        <v>8</v>
      </c>
      <c r="D226" s="154" t="s">
        <v>8</v>
      </c>
      <c r="E226" s="155" t="s">
        <v>8</v>
      </c>
      <c r="F226" s="154" t="s">
        <v>8</v>
      </c>
      <c r="G226" s="1698" t="s">
        <v>8</v>
      </c>
      <c r="H226" s="154" t="s">
        <v>8</v>
      </c>
      <c r="I226" s="154" t="s">
        <v>8</v>
      </c>
    </row>
    <row r="227" spans="1:9" ht="15.75" thickBot="1">
      <c r="A227" s="154" t="s">
        <v>8</v>
      </c>
      <c r="B227" s="1699" t="s">
        <v>8</v>
      </c>
      <c r="C227" s="154" t="s">
        <v>8</v>
      </c>
      <c r="D227" s="154" t="s">
        <v>8</v>
      </c>
      <c r="E227" s="155" t="s">
        <v>8</v>
      </c>
      <c r="F227" s="154" t="s">
        <v>8</v>
      </c>
      <c r="G227" s="1698" t="s">
        <v>8</v>
      </c>
      <c r="H227" s="154" t="s">
        <v>8</v>
      </c>
      <c r="I227" s="154" t="s">
        <v>8</v>
      </c>
    </row>
    <row r="228" spans="1:9" ht="15.75" thickTop="1">
      <c r="A228" s="154" t="s">
        <v>8</v>
      </c>
      <c r="B228" s="1721" t="s">
        <v>8</v>
      </c>
      <c r="C228" s="1707" t="s">
        <v>8</v>
      </c>
      <c r="D228" s="1712" t="s">
        <v>535</v>
      </c>
      <c r="E228" s="1722" t="s">
        <v>8</v>
      </c>
      <c r="F228" s="1707" t="s">
        <v>8</v>
      </c>
      <c r="G228" s="1723" t="s">
        <v>8</v>
      </c>
      <c r="H228" s="1694" t="s">
        <v>8</v>
      </c>
      <c r="I228" s="154" t="s">
        <v>8</v>
      </c>
    </row>
    <row r="229" spans="1:9">
      <c r="A229" s="154" t="s">
        <v>8</v>
      </c>
      <c r="B229" s="1708">
        <v>1</v>
      </c>
      <c r="C229" s="1710" t="s">
        <v>310</v>
      </c>
      <c r="D229" s="1710" t="s">
        <v>937</v>
      </c>
      <c r="E229" s="1714">
        <v>200000</v>
      </c>
      <c r="F229" s="1710" t="s">
        <v>938</v>
      </c>
      <c r="G229" s="1716">
        <v>15</v>
      </c>
      <c r="H229" s="1702" t="s">
        <v>96</v>
      </c>
      <c r="I229" s="154" t="s">
        <v>8</v>
      </c>
    </row>
    <row r="230" spans="1:9">
      <c r="A230" s="154" t="s">
        <v>8</v>
      </c>
      <c r="B230" s="1708">
        <v>2</v>
      </c>
      <c r="C230" s="1710" t="s">
        <v>310</v>
      </c>
      <c r="D230" s="1710" t="s">
        <v>939</v>
      </c>
      <c r="E230" s="1714">
        <v>200000</v>
      </c>
      <c r="F230" s="1710" t="s">
        <v>940</v>
      </c>
      <c r="G230" s="1716">
        <v>15</v>
      </c>
      <c r="H230" s="1702" t="s">
        <v>96</v>
      </c>
      <c r="I230" s="154" t="s">
        <v>8</v>
      </c>
    </row>
    <row r="231" spans="1:9">
      <c r="A231" s="154" t="s">
        <v>8</v>
      </c>
      <c r="B231" s="1708">
        <v>3</v>
      </c>
      <c r="C231" s="1710" t="s">
        <v>941</v>
      </c>
      <c r="D231" s="1710" t="s">
        <v>942</v>
      </c>
      <c r="E231" s="1714">
        <v>200000</v>
      </c>
      <c r="F231" s="1710" t="s">
        <v>943</v>
      </c>
      <c r="G231" s="1716">
        <v>14</v>
      </c>
      <c r="H231" s="1702" t="s">
        <v>96</v>
      </c>
      <c r="I231" s="154" t="s">
        <v>8</v>
      </c>
    </row>
    <row r="232" spans="1:9">
      <c r="A232" s="154" t="s">
        <v>8</v>
      </c>
      <c r="B232" s="1708">
        <v>4</v>
      </c>
      <c r="C232" s="1710" t="s">
        <v>365</v>
      </c>
      <c r="D232" s="1710" t="s">
        <v>944</v>
      </c>
      <c r="E232" s="1714">
        <v>618067</v>
      </c>
      <c r="F232" s="1710" t="s">
        <v>944</v>
      </c>
      <c r="G232" s="1716">
        <v>9</v>
      </c>
      <c r="H232" s="1702" t="s">
        <v>96</v>
      </c>
      <c r="I232" s="154" t="s">
        <v>8</v>
      </c>
    </row>
    <row r="233" spans="1:9">
      <c r="A233" s="154" t="s">
        <v>8</v>
      </c>
      <c r="B233" s="1708">
        <v>5</v>
      </c>
      <c r="C233" s="1710" t="s">
        <v>125</v>
      </c>
      <c r="D233" s="1710" t="s">
        <v>945</v>
      </c>
      <c r="E233" s="1714">
        <v>4400</v>
      </c>
      <c r="F233" s="1710" t="s">
        <v>945</v>
      </c>
      <c r="G233" s="1716">
        <v>8</v>
      </c>
      <c r="H233" s="1702" t="s">
        <v>96</v>
      </c>
      <c r="I233" s="154" t="s">
        <v>8</v>
      </c>
    </row>
    <row r="234" spans="1:9">
      <c r="A234" s="154" t="s">
        <v>8</v>
      </c>
      <c r="B234" s="1708">
        <v>6</v>
      </c>
      <c r="C234" s="1710" t="s">
        <v>190</v>
      </c>
      <c r="D234" s="1710" t="s">
        <v>946</v>
      </c>
      <c r="E234" s="1714">
        <v>10000</v>
      </c>
      <c r="F234" s="1710" t="s">
        <v>947</v>
      </c>
      <c r="G234" s="1716">
        <v>6</v>
      </c>
      <c r="H234" s="1702" t="s">
        <v>96</v>
      </c>
      <c r="I234" s="154" t="s">
        <v>8</v>
      </c>
    </row>
    <row r="235" spans="1:9">
      <c r="A235" s="154" t="s">
        <v>8</v>
      </c>
      <c r="B235" s="1708">
        <v>7</v>
      </c>
      <c r="C235" s="1710" t="s">
        <v>190</v>
      </c>
      <c r="D235" s="1710" t="s">
        <v>948</v>
      </c>
      <c r="E235" s="1714">
        <v>310000</v>
      </c>
      <c r="F235" s="1710" t="s">
        <v>948</v>
      </c>
      <c r="G235" s="1716">
        <v>6</v>
      </c>
      <c r="H235" s="1702" t="s">
        <v>96</v>
      </c>
      <c r="I235" s="154" t="s">
        <v>8</v>
      </c>
    </row>
    <row r="236" spans="1:9">
      <c r="A236" s="154" t="s">
        <v>8</v>
      </c>
      <c r="B236" s="1708">
        <v>8</v>
      </c>
      <c r="C236" s="1710" t="s">
        <v>38</v>
      </c>
      <c r="D236" s="1710" t="s">
        <v>242</v>
      </c>
      <c r="E236" s="1714">
        <v>1</v>
      </c>
      <c r="F236" s="1710" t="s">
        <v>242</v>
      </c>
      <c r="G236" s="1716">
        <v>3</v>
      </c>
      <c r="H236" s="1702" t="s">
        <v>96</v>
      </c>
      <c r="I236" s="154" t="s">
        <v>8</v>
      </c>
    </row>
    <row r="237" spans="1:9">
      <c r="A237" s="154" t="s">
        <v>8</v>
      </c>
      <c r="B237" s="1708">
        <v>9</v>
      </c>
      <c r="C237" s="1710" t="s">
        <v>38</v>
      </c>
      <c r="D237" s="1710" t="s">
        <v>949</v>
      </c>
      <c r="E237" s="1714">
        <v>10000</v>
      </c>
      <c r="F237" s="1710" t="s">
        <v>950</v>
      </c>
      <c r="G237" s="1716">
        <v>3</v>
      </c>
      <c r="H237" s="1702" t="s">
        <v>96</v>
      </c>
      <c r="I237" s="154" t="s">
        <v>8</v>
      </c>
    </row>
    <row r="238" spans="1:9">
      <c r="A238" s="154" t="s">
        <v>8</v>
      </c>
      <c r="B238" s="1708">
        <v>10</v>
      </c>
      <c r="C238" s="1710" t="s">
        <v>38</v>
      </c>
      <c r="D238" s="1710" t="s">
        <v>951</v>
      </c>
      <c r="E238" s="1714">
        <v>50000</v>
      </c>
      <c r="F238" s="1710" t="s">
        <v>952</v>
      </c>
      <c r="G238" s="1716">
        <v>3</v>
      </c>
      <c r="H238" s="1702" t="s">
        <v>96</v>
      </c>
      <c r="I238" s="154" t="s">
        <v>8</v>
      </c>
    </row>
    <row r="239" spans="1:9">
      <c r="A239" s="154" t="s">
        <v>8</v>
      </c>
      <c r="B239" s="1708">
        <v>11</v>
      </c>
      <c r="C239" s="1710" t="s">
        <v>56</v>
      </c>
      <c r="D239" s="1710" t="s">
        <v>953</v>
      </c>
      <c r="E239" s="1714">
        <v>6211.34</v>
      </c>
      <c r="F239" s="1710" t="s">
        <v>954</v>
      </c>
      <c r="G239" s="1716">
        <v>2</v>
      </c>
      <c r="H239" s="1702" t="s">
        <v>96</v>
      </c>
      <c r="I239" s="154" t="s">
        <v>8</v>
      </c>
    </row>
    <row r="240" spans="1:9">
      <c r="A240" s="154" t="s">
        <v>8</v>
      </c>
      <c r="B240" s="1708">
        <v>12</v>
      </c>
      <c r="C240" s="1710" t="s">
        <v>56</v>
      </c>
      <c r="D240" s="1710" t="s">
        <v>955</v>
      </c>
      <c r="E240" s="1714">
        <v>50000</v>
      </c>
      <c r="F240" s="1710" t="s">
        <v>854</v>
      </c>
      <c r="G240" s="1716">
        <v>2</v>
      </c>
      <c r="H240" s="1702" t="s">
        <v>96</v>
      </c>
      <c r="I240" s="154" t="s">
        <v>8</v>
      </c>
    </row>
    <row r="241" spans="1:9">
      <c r="A241" s="154" t="s">
        <v>8</v>
      </c>
      <c r="B241" s="1708">
        <v>13</v>
      </c>
      <c r="C241" s="1710" t="s">
        <v>56</v>
      </c>
      <c r="D241" s="1710" t="s">
        <v>956</v>
      </c>
      <c r="E241" s="1714">
        <v>98307.6</v>
      </c>
      <c r="F241" s="1710" t="s">
        <v>956</v>
      </c>
      <c r="G241" s="1716">
        <v>2</v>
      </c>
      <c r="H241" s="1702" t="s">
        <v>96</v>
      </c>
      <c r="I241" s="154" t="s">
        <v>8</v>
      </c>
    </row>
    <row r="242" spans="1:9">
      <c r="A242" s="154" t="s">
        <v>8</v>
      </c>
      <c r="B242" s="1708">
        <v>14</v>
      </c>
      <c r="C242" s="1710" t="s">
        <v>56</v>
      </c>
      <c r="D242" s="1710" t="s">
        <v>957</v>
      </c>
      <c r="E242" s="1714">
        <v>100000</v>
      </c>
      <c r="F242" s="1710" t="s">
        <v>958</v>
      </c>
      <c r="G242" s="1716">
        <v>2</v>
      </c>
      <c r="H242" s="1702" t="s">
        <v>96</v>
      </c>
      <c r="I242" s="154" t="s">
        <v>8</v>
      </c>
    </row>
    <row r="243" spans="1:9">
      <c r="A243" s="154" t="s">
        <v>8</v>
      </c>
      <c r="B243" s="1708">
        <v>15</v>
      </c>
      <c r="C243" s="1710" t="s">
        <v>56</v>
      </c>
      <c r="D243" s="1710" t="s">
        <v>959</v>
      </c>
      <c r="E243" s="1714">
        <v>140557.70000000001</v>
      </c>
      <c r="F243" s="1710" t="s">
        <v>959</v>
      </c>
      <c r="G243" s="1716">
        <v>2</v>
      </c>
      <c r="H243" s="1702" t="s">
        <v>96</v>
      </c>
      <c r="I243" s="154" t="s">
        <v>8</v>
      </c>
    </row>
    <row r="244" spans="1:9">
      <c r="A244" s="154" t="s">
        <v>8</v>
      </c>
      <c r="B244" s="1708">
        <v>16</v>
      </c>
      <c r="C244" s="1710" t="s">
        <v>48</v>
      </c>
      <c r="D244" s="1710" t="s">
        <v>960</v>
      </c>
      <c r="E244" s="1714">
        <v>1200</v>
      </c>
      <c r="F244" s="1710" t="s">
        <v>961</v>
      </c>
      <c r="G244" s="1716">
        <v>1</v>
      </c>
      <c r="H244" s="1702" t="s">
        <v>96</v>
      </c>
      <c r="I244" s="154" t="s">
        <v>8</v>
      </c>
    </row>
    <row r="245" spans="1:9">
      <c r="A245" s="154" t="s">
        <v>8</v>
      </c>
      <c r="B245" s="1708">
        <v>17</v>
      </c>
      <c r="C245" s="1710" t="s">
        <v>48</v>
      </c>
      <c r="D245" s="1710" t="s">
        <v>962</v>
      </c>
      <c r="E245" s="1714">
        <v>3120</v>
      </c>
      <c r="F245" s="1710" t="s">
        <v>963</v>
      </c>
      <c r="G245" s="1716">
        <v>1</v>
      </c>
      <c r="H245" s="1702" t="s">
        <v>96</v>
      </c>
      <c r="I245" s="154" t="s">
        <v>8</v>
      </c>
    </row>
    <row r="246" spans="1:9">
      <c r="A246" s="154" t="s">
        <v>8</v>
      </c>
      <c r="B246" s="1708">
        <v>18</v>
      </c>
      <c r="C246" s="1710" t="s">
        <v>48</v>
      </c>
      <c r="D246" s="1710" t="s">
        <v>964</v>
      </c>
      <c r="E246" s="1714">
        <v>4760.2299999999996</v>
      </c>
      <c r="F246" s="1710" t="s">
        <v>965</v>
      </c>
      <c r="G246" s="1716">
        <v>1</v>
      </c>
      <c r="H246" s="1702" t="s">
        <v>96</v>
      </c>
      <c r="I246" s="154" t="s">
        <v>8</v>
      </c>
    </row>
    <row r="247" spans="1:9">
      <c r="A247" s="154" t="s">
        <v>8</v>
      </c>
      <c r="B247" s="1708">
        <v>19</v>
      </c>
      <c r="C247" s="1710" t="s">
        <v>48</v>
      </c>
      <c r="D247" s="1710" t="s">
        <v>966</v>
      </c>
      <c r="E247" s="1714">
        <v>6000</v>
      </c>
      <c r="F247" s="1710" t="s">
        <v>967</v>
      </c>
      <c r="G247" s="1716">
        <v>1</v>
      </c>
      <c r="H247" s="1702" t="s">
        <v>96</v>
      </c>
      <c r="I247" s="154" t="s">
        <v>8</v>
      </c>
    </row>
    <row r="248" spans="1:9">
      <c r="A248" s="154" t="s">
        <v>8</v>
      </c>
      <c r="B248" s="1708">
        <v>20</v>
      </c>
      <c r="C248" s="1710" t="s">
        <v>48</v>
      </c>
      <c r="D248" s="1710" t="s">
        <v>968</v>
      </c>
      <c r="E248" s="1714">
        <v>7125</v>
      </c>
      <c r="F248" s="1710" t="s">
        <v>969</v>
      </c>
      <c r="G248" s="1716">
        <v>1</v>
      </c>
      <c r="H248" s="1702" t="s">
        <v>96</v>
      </c>
      <c r="I248" s="154" t="s">
        <v>8</v>
      </c>
    </row>
    <row r="249" spans="1:9">
      <c r="A249" s="154" t="s">
        <v>8</v>
      </c>
      <c r="B249" s="1708">
        <v>21</v>
      </c>
      <c r="C249" s="1710" t="s">
        <v>48</v>
      </c>
      <c r="D249" s="1710" t="s">
        <v>970</v>
      </c>
      <c r="E249" s="1714">
        <v>8719</v>
      </c>
      <c r="F249" s="1710" t="s">
        <v>971</v>
      </c>
      <c r="G249" s="1716">
        <v>1</v>
      </c>
      <c r="H249" s="1702" t="s">
        <v>96</v>
      </c>
      <c r="I249" s="154" t="s">
        <v>8</v>
      </c>
    </row>
    <row r="250" spans="1:9">
      <c r="A250" s="154" t="s">
        <v>8</v>
      </c>
      <c r="B250" s="1708">
        <v>22</v>
      </c>
      <c r="C250" s="1710" t="s">
        <v>48</v>
      </c>
      <c r="D250" s="1710" t="s">
        <v>972</v>
      </c>
      <c r="E250" s="1714">
        <v>10000</v>
      </c>
      <c r="F250" s="1710" t="s">
        <v>973</v>
      </c>
      <c r="G250" s="1716">
        <v>1</v>
      </c>
      <c r="H250" s="1702" t="s">
        <v>96</v>
      </c>
      <c r="I250" s="154" t="s">
        <v>8</v>
      </c>
    </row>
    <row r="251" spans="1:9">
      <c r="A251" s="154" t="s">
        <v>8</v>
      </c>
      <c r="B251" s="1708">
        <v>23</v>
      </c>
      <c r="C251" s="1710" t="s">
        <v>48</v>
      </c>
      <c r="D251" s="1710" t="s">
        <v>974</v>
      </c>
      <c r="E251" s="1714">
        <v>10000</v>
      </c>
      <c r="F251" s="1710" t="s">
        <v>975</v>
      </c>
      <c r="G251" s="1716">
        <v>1</v>
      </c>
      <c r="H251" s="1702" t="s">
        <v>96</v>
      </c>
      <c r="I251" s="154" t="s">
        <v>8</v>
      </c>
    </row>
    <row r="252" spans="1:9">
      <c r="A252" s="154" t="s">
        <v>8</v>
      </c>
      <c r="B252" s="1708">
        <v>24</v>
      </c>
      <c r="C252" s="1710" t="s">
        <v>48</v>
      </c>
      <c r="D252" s="1710" t="s">
        <v>976</v>
      </c>
      <c r="E252" s="1714">
        <v>19500</v>
      </c>
      <c r="F252" s="1710" t="s">
        <v>977</v>
      </c>
      <c r="G252" s="1716">
        <v>1</v>
      </c>
      <c r="H252" s="1702" t="s">
        <v>96</v>
      </c>
      <c r="I252" s="154" t="s">
        <v>8</v>
      </c>
    </row>
    <row r="253" spans="1:9">
      <c r="A253" s="154" t="s">
        <v>8</v>
      </c>
      <c r="B253" s="1708">
        <v>25</v>
      </c>
      <c r="C253" s="1710" t="s">
        <v>48</v>
      </c>
      <c r="D253" s="1710" t="s">
        <v>978</v>
      </c>
      <c r="E253" s="1714">
        <v>20000</v>
      </c>
      <c r="F253" s="1710" t="s">
        <v>979</v>
      </c>
      <c r="G253" s="1716">
        <v>1</v>
      </c>
      <c r="H253" s="1702" t="s">
        <v>96</v>
      </c>
      <c r="I253" s="154" t="s">
        <v>8</v>
      </c>
    </row>
    <row r="254" spans="1:9">
      <c r="A254" s="154" t="s">
        <v>8</v>
      </c>
      <c r="B254" s="1708">
        <v>26</v>
      </c>
      <c r="C254" s="1710" t="s">
        <v>48</v>
      </c>
      <c r="D254" s="1710" t="s">
        <v>980</v>
      </c>
      <c r="E254" s="1714">
        <v>20000</v>
      </c>
      <c r="F254" s="1710" t="s">
        <v>981</v>
      </c>
      <c r="G254" s="1716">
        <v>1</v>
      </c>
      <c r="H254" s="1702" t="s">
        <v>96</v>
      </c>
      <c r="I254" s="154" t="s">
        <v>8</v>
      </c>
    </row>
    <row r="255" spans="1:9">
      <c r="A255" s="154" t="s">
        <v>8</v>
      </c>
      <c r="B255" s="1708">
        <v>27</v>
      </c>
      <c r="C255" s="1710" t="s">
        <v>48</v>
      </c>
      <c r="D255" s="1710" t="s">
        <v>982</v>
      </c>
      <c r="E255" s="1714">
        <v>26493.4</v>
      </c>
      <c r="F255" s="1710" t="s">
        <v>983</v>
      </c>
      <c r="G255" s="1716">
        <v>1</v>
      </c>
      <c r="H255" s="1702" t="s">
        <v>96</v>
      </c>
      <c r="I255" s="154" t="s">
        <v>8</v>
      </c>
    </row>
    <row r="256" spans="1:9">
      <c r="A256" s="154" t="s">
        <v>8</v>
      </c>
      <c r="B256" s="1708">
        <v>28</v>
      </c>
      <c r="C256" s="1710" t="s">
        <v>48</v>
      </c>
      <c r="D256" s="1710" t="s">
        <v>984</v>
      </c>
      <c r="E256" s="1714">
        <v>28211.200000000001</v>
      </c>
      <c r="F256" s="1710" t="s">
        <v>984</v>
      </c>
      <c r="G256" s="1716">
        <v>1</v>
      </c>
      <c r="H256" s="1702" t="s">
        <v>96</v>
      </c>
      <c r="I256" s="154" t="s">
        <v>8</v>
      </c>
    </row>
    <row r="257" spans="1:9">
      <c r="A257" s="154" t="s">
        <v>8</v>
      </c>
      <c r="B257" s="1708">
        <v>29</v>
      </c>
      <c r="C257" s="1710" t="s">
        <v>48</v>
      </c>
      <c r="D257" s="1710" t="s">
        <v>985</v>
      </c>
      <c r="E257" s="1714">
        <v>33875</v>
      </c>
      <c r="F257" s="1710" t="s">
        <v>986</v>
      </c>
      <c r="G257" s="1716">
        <v>1</v>
      </c>
      <c r="H257" s="1702" t="s">
        <v>96</v>
      </c>
      <c r="I257" s="154" t="s">
        <v>8</v>
      </c>
    </row>
    <row r="258" spans="1:9">
      <c r="A258" s="154" t="s">
        <v>8</v>
      </c>
      <c r="B258" s="1708">
        <v>30</v>
      </c>
      <c r="C258" s="1710" t="s">
        <v>48</v>
      </c>
      <c r="D258" s="1710" t="s">
        <v>987</v>
      </c>
      <c r="E258" s="1714">
        <v>34600</v>
      </c>
      <c r="F258" s="1710" t="s">
        <v>988</v>
      </c>
      <c r="G258" s="1716">
        <v>1</v>
      </c>
      <c r="H258" s="1702" t="s">
        <v>96</v>
      </c>
      <c r="I258" s="154" t="s">
        <v>8</v>
      </c>
    </row>
    <row r="259" spans="1:9">
      <c r="A259" s="154" t="s">
        <v>8</v>
      </c>
      <c r="B259" s="1708">
        <v>31</v>
      </c>
      <c r="C259" s="1710" t="s">
        <v>48</v>
      </c>
      <c r="D259" s="1710" t="s">
        <v>989</v>
      </c>
      <c r="E259" s="1714">
        <v>40000</v>
      </c>
      <c r="F259" s="1710" t="s">
        <v>990</v>
      </c>
      <c r="G259" s="1716">
        <v>1</v>
      </c>
      <c r="H259" s="1702" t="s">
        <v>96</v>
      </c>
      <c r="I259" s="154" t="s">
        <v>8</v>
      </c>
    </row>
    <row r="260" spans="1:9">
      <c r="A260" s="154" t="s">
        <v>8</v>
      </c>
      <c r="B260" s="1708">
        <v>32</v>
      </c>
      <c r="C260" s="1710" t="s">
        <v>48</v>
      </c>
      <c r="D260" s="1710" t="s">
        <v>991</v>
      </c>
      <c r="E260" s="1714">
        <v>45500</v>
      </c>
      <c r="F260" s="1710" t="s">
        <v>992</v>
      </c>
      <c r="G260" s="1716">
        <v>1</v>
      </c>
      <c r="H260" s="1702" t="s">
        <v>96</v>
      </c>
      <c r="I260" s="154" t="s">
        <v>8</v>
      </c>
    </row>
    <row r="261" spans="1:9">
      <c r="A261" s="154" t="s">
        <v>8</v>
      </c>
      <c r="B261" s="1708">
        <v>33</v>
      </c>
      <c r="C261" s="1710" t="s">
        <v>48</v>
      </c>
      <c r="D261" s="1710" t="s">
        <v>993</v>
      </c>
      <c r="E261" s="1714">
        <v>53200</v>
      </c>
      <c r="F261" s="1710" t="s">
        <v>993</v>
      </c>
      <c r="G261" s="1716">
        <v>1</v>
      </c>
      <c r="H261" s="1702" t="s">
        <v>96</v>
      </c>
      <c r="I261" s="154" t="s">
        <v>8</v>
      </c>
    </row>
    <row r="262" spans="1:9">
      <c r="A262" s="154" t="s">
        <v>8</v>
      </c>
      <c r="B262" s="1708">
        <v>34</v>
      </c>
      <c r="C262" s="1710" t="s">
        <v>48</v>
      </c>
      <c r="D262" s="1710" t="s">
        <v>994</v>
      </c>
      <c r="E262" s="1714">
        <v>68831.17</v>
      </c>
      <c r="F262" s="1710" t="s">
        <v>995</v>
      </c>
      <c r="G262" s="1716">
        <v>1</v>
      </c>
      <c r="H262" s="1702" t="s">
        <v>96</v>
      </c>
      <c r="I262" s="154" t="s">
        <v>8</v>
      </c>
    </row>
    <row r="263" spans="1:9">
      <c r="A263" s="154" t="s">
        <v>8</v>
      </c>
      <c r="B263" s="1708">
        <v>35</v>
      </c>
      <c r="C263" s="1710" t="s">
        <v>48</v>
      </c>
      <c r="D263" s="1710" t="s">
        <v>996</v>
      </c>
      <c r="E263" s="1714">
        <v>95000</v>
      </c>
      <c r="F263" s="1710" t="s">
        <v>543</v>
      </c>
      <c r="G263" s="1716">
        <v>1</v>
      </c>
      <c r="H263" s="1702" t="s">
        <v>96</v>
      </c>
      <c r="I263" s="154" t="s">
        <v>8</v>
      </c>
    </row>
    <row r="264" spans="1:9">
      <c r="A264" s="154" t="s">
        <v>8</v>
      </c>
      <c r="B264" s="1708">
        <v>36</v>
      </c>
      <c r="C264" s="1710" t="s">
        <v>48</v>
      </c>
      <c r="D264" s="1710" t="s">
        <v>997</v>
      </c>
      <c r="E264" s="1714">
        <v>100000</v>
      </c>
      <c r="F264" s="1710" t="s">
        <v>998</v>
      </c>
      <c r="G264" s="1716">
        <v>1</v>
      </c>
      <c r="H264" s="1702" t="s">
        <v>96</v>
      </c>
      <c r="I264" s="154" t="s">
        <v>8</v>
      </c>
    </row>
    <row r="265" spans="1:9">
      <c r="A265" s="154" t="s">
        <v>8</v>
      </c>
      <c r="B265" s="1708">
        <v>37</v>
      </c>
      <c r="C265" s="1710" t="s">
        <v>48</v>
      </c>
      <c r="D265" s="1710" t="s">
        <v>999</v>
      </c>
      <c r="E265" s="1714">
        <v>100000</v>
      </c>
      <c r="F265" s="1710" t="s">
        <v>1000</v>
      </c>
      <c r="G265" s="1716">
        <v>1</v>
      </c>
      <c r="H265" s="1702" t="s">
        <v>96</v>
      </c>
      <c r="I265" s="154" t="s">
        <v>8</v>
      </c>
    </row>
    <row r="266" spans="1:9">
      <c r="A266" s="154" t="s">
        <v>8</v>
      </c>
      <c r="B266" s="1708">
        <v>38</v>
      </c>
      <c r="C266" s="1710" t="s">
        <v>48</v>
      </c>
      <c r="D266" s="1710" t="s">
        <v>1001</v>
      </c>
      <c r="E266" s="1714">
        <v>100000</v>
      </c>
      <c r="F266" s="1710" t="s">
        <v>874</v>
      </c>
      <c r="G266" s="1716">
        <v>1</v>
      </c>
      <c r="H266" s="1702" t="s">
        <v>96</v>
      </c>
      <c r="I266" s="154" t="s">
        <v>8</v>
      </c>
    </row>
    <row r="267" spans="1:9">
      <c r="A267" s="154" t="s">
        <v>8</v>
      </c>
      <c r="B267" s="1708">
        <v>39</v>
      </c>
      <c r="C267" s="1710" t="s">
        <v>48</v>
      </c>
      <c r="D267" s="1710" t="s">
        <v>1002</v>
      </c>
      <c r="E267" s="1714">
        <v>160000</v>
      </c>
      <c r="F267" s="1710" t="s">
        <v>1003</v>
      </c>
      <c r="G267" s="1716">
        <v>1</v>
      </c>
      <c r="H267" s="1702" t="s">
        <v>96</v>
      </c>
      <c r="I267" s="154" t="s">
        <v>8</v>
      </c>
    </row>
    <row r="268" spans="1:9">
      <c r="A268" s="154" t="s">
        <v>8</v>
      </c>
      <c r="B268" s="1708">
        <v>40</v>
      </c>
      <c r="C268" s="1710" t="s">
        <v>48</v>
      </c>
      <c r="D268" s="1710" t="s">
        <v>1004</v>
      </c>
      <c r="E268" s="1714">
        <v>177000</v>
      </c>
      <c r="F268" s="1710" t="s">
        <v>1005</v>
      </c>
      <c r="G268" s="1716">
        <v>1</v>
      </c>
      <c r="H268" s="1702" t="s">
        <v>96</v>
      </c>
      <c r="I268" s="154" t="s">
        <v>8</v>
      </c>
    </row>
    <row r="269" spans="1:9">
      <c r="A269" s="154" t="s">
        <v>8</v>
      </c>
      <c r="B269" s="1708">
        <v>41</v>
      </c>
      <c r="C269" s="1710" t="s">
        <v>48</v>
      </c>
      <c r="D269" s="1710" t="s">
        <v>1006</v>
      </c>
      <c r="E269" s="1714">
        <v>560000</v>
      </c>
      <c r="F269" s="1710" t="s">
        <v>1006</v>
      </c>
      <c r="G269" s="1716">
        <v>1</v>
      </c>
      <c r="H269" s="1702" t="s">
        <v>96</v>
      </c>
      <c r="I269" s="154" t="s">
        <v>8</v>
      </c>
    </row>
    <row r="270" spans="1:9">
      <c r="A270" s="154" t="s">
        <v>8</v>
      </c>
      <c r="B270" s="1708">
        <v>42</v>
      </c>
      <c r="C270" s="1710" t="s">
        <v>27</v>
      </c>
      <c r="D270" s="1710" t="s">
        <v>355</v>
      </c>
      <c r="E270" s="1714">
        <v>5</v>
      </c>
      <c r="F270" s="1710" t="s">
        <v>356</v>
      </c>
      <c r="G270" s="1716">
        <v>0</v>
      </c>
      <c r="H270" s="1702" t="s">
        <v>96</v>
      </c>
      <c r="I270" s="154" t="s">
        <v>8</v>
      </c>
    </row>
    <row r="271" spans="1:9">
      <c r="A271" s="154" t="s">
        <v>8</v>
      </c>
      <c r="B271" s="1708">
        <v>43</v>
      </c>
      <c r="C271" s="1710" t="s">
        <v>27</v>
      </c>
      <c r="D271" s="1710" t="s">
        <v>1007</v>
      </c>
      <c r="E271" s="1714">
        <v>1000</v>
      </c>
      <c r="F271" s="1710" t="s">
        <v>1008</v>
      </c>
      <c r="G271" s="1716">
        <v>0</v>
      </c>
      <c r="H271" s="1702" t="s">
        <v>96</v>
      </c>
      <c r="I271" s="154" t="s">
        <v>8</v>
      </c>
    </row>
    <row r="272" spans="1:9">
      <c r="A272" s="154" t="s">
        <v>8</v>
      </c>
      <c r="B272" s="1708">
        <v>44</v>
      </c>
      <c r="C272" s="1710" t="s">
        <v>27</v>
      </c>
      <c r="D272" s="1710" t="s">
        <v>1009</v>
      </c>
      <c r="E272" s="1714">
        <v>1000</v>
      </c>
      <c r="F272" s="1710" t="s">
        <v>1010</v>
      </c>
      <c r="G272" s="1716">
        <v>0</v>
      </c>
      <c r="H272" s="1702" t="s">
        <v>96</v>
      </c>
      <c r="I272" s="154" t="s">
        <v>8</v>
      </c>
    </row>
    <row r="273" spans="1:9">
      <c r="A273" s="154" t="s">
        <v>8</v>
      </c>
      <c r="B273" s="1708">
        <v>45</v>
      </c>
      <c r="C273" s="1710" t="s">
        <v>27</v>
      </c>
      <c r="D273" s="1710" t="s">
        <v>1011</v>
      </c>
      <c r="E273" s="1714">
        <v>1224.79</v>
      </c>
      <c r="F273" s="1710" t="s">
        <v>1012</v>
      </c>
      <c r="G273" s="1716">
        <v>0</v>
      </c>
      <c r="H273" s="1702" t="s">
        <v>96</v>
      </c>
      <c r="I273" s="154" t="s">
        <v>8</v>
      </c>
    </row>
    <row r="274" spans="1:9">
      <c r="A274" s="154" t="s">
        <v>8</v>
      </c>
      <c r="B274" s="1708">
        <v>46</v>
      </c>
      <c r="C274" s="1710" t="s">
        <v>27</v>
      </c>
      <c r="D274" s="1710" t="s">
        <v>1013</v>
      </c>
      <c r="E274" s="1714">
        <v>1792</v>
      </c>
      <c r="F274" s="1710" t="s">
        <v>1014</v>
      </c>
      <c r="G274" s="1716">
        <v>0</v>
      </c>
      <c r="H274" s="1702" t="s">
        <v>96</v>
      </c>
      <c r="I274" s="154" t="s">
        <v>8</v>
      </c>
    </row>
    <row r="275" spans="1:9">
      <c r="A275" s="154" t="s">
        <v>8</v>
      </c>
      <c r="B275" s="1708">
        <v>47</v>
      </c>
      <c r="C275" s="1710" t="s">
        <v>27</v>
      </c>
      <c r="D275" s="1710" t="s">
        <v>1015</v>
      </c>
      <c r="E275" s="1714">
        <v>6880</v>
      </c>
      <c r="F275" s="1710" t="s">
        <v>1016</v>
      </c>
      <c r="G275" s="1716">
        <v>0</v>
      </c>
      <c r="H275" s="1702" t="s">
        <v>96</v>
      </c>
      <c r="I275" s="154" t="s">
        <v>8</v>
      </c>
    </row>
    <row r="276" spans="1:9">
      <c r="A276" s="154" t="s">
        <v>8</v>
      </c>
      <c r="B276" s="1708">
        <v>48</v>
      </c>
      <c r="C276" s="1710" t="s">
        <v>27</v>
      </c>
      <c r="D276" s="1710" t="s">
        <v>1017</v>
      </c>
      <c r="E276" s="1714">
        <v>7100</v>
      </c>
      <c r="F276" s="1710" t="s">
        <v>1018</v>
      </c>
      <c r="G276" s="1716">
        <v>0</v>
      </c>
      <c r="H276" s="1702" t="s">
        <v>96</v>
      </c>
      <c r="I276" s="154" t="s">
        <v>8</v>
      </c>
    </row>
    <row r="277" spans="1:9">
      <c r="A277" s="154" t="s">
        <v>8</v>
      </c>
      <c r="B277" s="1708">
        <v>49</v>
      </c>
      <c r="C277" s="1710" t="s">
        <v>27</v>
      </c>
      <c r="D277" s="1710" t="s">
        <v>1019</v>
      </c>
      <c r="E277" s="1714">
        <v>10000</v>
      </c>
      <c r="F277" s="1710" t="s">
        <v>1020</v>
      </c>
      <c r="G277" s="1716">
        <v>0</v>
      </c>
      <c r="H277" s="1702" t="s">
        <v>96</v>
      </c>
      <c r="I277" s="154" t="s">
        <v>8</v>
      </c>
    </row>
    <row r="278" spans="1:9">
      <c r="A278" s="154" t="s">
        <v>8</v>
      </c>
      <c r="B278" s="1708">
        <v>50</v>
      </c>
      <c r="C278" s="1710" t="s">
        <v>27</v>
      </c>
      <c r="D278" s="1710" t="s">
        <v>1021</v>
      </c>
      <c r="E278" s="1714">
        <v>10000</v>
      </c>
      <c r="F278" s="1710" t="s">
        <v>1022</v>
      </c>
      <c r="G278" s="1716">
        <v>0</v>
      </c>
      <c r="H278" s="1702" t="s">
        <v>96</v>
      </c>
      <c r="I278" s="154" t="s">
        <v>8</v>
      </c>
    </row>
    <row r="279" spans="1:9">
      <c r="A279" s="154" t="s">
        <v>8</v>
      </c>
      <c r="B279" s="1708">
        <v>51</v>
      </c>
      <c r="C279" s="1710" t="s">
        <v>27</v>
      </c>
      <c r="D279" s="1710" t="s">
        <v>1023</v>
      </c>
      <c r="E279" s="1714">
        <v>10000</v>
      </c>
      <c r="F279" s="1710" t="s">
        <v>848</v>
      </c>
      <c r="G279" s="1716">
        <v>0</v>
      </c>
      <c r="H279" s="1702" t="s">
        <v>96</v>
      </c>
      <c r="I279" s="154" t="s">
        <v>8</v>
      </c>
    </row>
    <row r="280" spans="1:9">
      <c r="A280" s="154" t="s">
        <v>8</v>
      </c>
      <c r="B280" s="1708">
        <v>52</v>
      </c>
      <c r="C280" s="1710" t="s">
        <v>27</v>
      </c>
      <c r="D280" s="1710" t="s">
        <v>1024</v>
      </c>
      <c r="E280" s="1714">
        <v>13652.26</v>
      </c>
      <c r="F280" s="1710" t="s">
        <v>1025</v>
      </c>
      <c r="G280" s="1716">
        <v>0</v>
      </c>
      <c r="H280" s="1702" t="s">
        <v>96</v>
      </c>
      <c r="I280" s="154" t="s">
        <v>8</v>
      </c>
    </row>
    <row r="281" spans="1:9">
      <c r="A281" s="154" t="s">
        <v>8</v>
      </c>
      <c r="B281" s="1708">
        <v>53</v>
      </c>
      <c r="C281" s="1710" t="s">
        <v>27</v>
      </c>
      <c r="D281" s="1710" t="s">
        <v>1026</v>
      </c>
      <c r="E281" s="1714">
        <v>16000</v>
      </c>
      <c r="F281" s="1710" t="s">
        <v>1027</v>
      </c>
      <c r="G281" s="1716">
        <v>0</v>
      </c>
      <c r="H281" s="1702" t="s">
        <v>96</v>
      </c>
      <c r="I281" s="154" t="s">
        <v>8</v>
      </c>
    </row>
    <row r="282" spans="1:9">
      <c r="A282" s="154" t="s">
        <v>8</v>
      </c>
      <c r="B282" s="1708">
        <v>54</v>
      </c>
      <c r="C282" s="1710" t="s">
        <v>27</v>
      </c>
      <c r="D282" s="1710" t="s">
        <v>1028</v>
      </c>
      <c r="E282" s="1714">
        <v>16195.5</v>
      </c>
      <c r="F282" s="1710" t="s">
        <v>1029</v>
      </c>
      <c r="G282" s="1716">
        <v>0</v>
      </c>
      <c r="H282" s="1702" t="s">
        <v>96</v>
      </c>
      <c r="I282" s="154" t="s">
        <v>8</v>
      </c>
    </row>
    <row r="283" spans="1:9">
      <c r="A283" s="154" t="s">
        <v>8</v>
      </c>
      <c r="B283" s="1708">
        <v>55</v>
      </c>
      <c r="C283" s="1710" t="s">
        <v>27</v>
      </c>
      <c r="D283" s="1710" t="s">
        <v>1030</v>
      </c>
      <c r="E283" s="1714">
        <v>19456.28</v>
      </c>
      <c r="F283" s="1710" t="s">
        <v>1031</v>
      </c>
      <c r="G283" s="1716">
        <v>0</v>
      </c>
      <c r="H283" s="1702" t="s">
        <v>96</v>
      </c>
      <c r="I283" s="154" t="s">
        <v>8</v>
      </c>
    </row>
    <row r="284" spans="1:9">
      <c r="A284" s="154" t="s">
        <v>8</v>
      </c>
      <c r="B284" s="1708">
        <v>56</v>
      </c>
      <c r="C284" s="1710" t="s">
        <v>27</v>
      </c>
      <c r="D284" s="1710" t="s">
        <v>1032</v>
      </c>
      <c r="E284" s="1714">
        <v>20000</v>
      </c>
      <c r="F284" s="1710" t="s">
        <v>1033</v>
      </c>
      <c r="G284" s="1716">
        <v>0</v>
      </c>
      <c r="H284" s="1702" t="s">
        <v>96</v>
      </c>
      <c r="I284" s="154" t="s">
        <v>8</v>
      </c>
    </row>
    <row r="285" spans="1:9">
      <c r="A285" s="154" t="s">
        <v>8</v>
      </c>
      <c r="B285" s="1708">
        <v>57</v>
      </c>
      <c r="C285" s="1710" t="s">
        <v>27</v>
      </c>
      <c r="D285" s="1710" t="s">
        <v>1034</v>
      </c>
      <c r="E285" s="1714">
        <v>20000</v>
      </c>
      <c r="F285" s="1710" t="s">
        <v>1035</v>
      </c>
      <c r="G285" s="1716">
        <v>0</v>
      </c>
      <c r="H285" s="1702" t="s">
        <v>96</v>
      </c>
      <c r="I285" s="154" t="s">
        <v>8</v>
      </c>
    </row>
    <row r="286" spans="1:9">
      <c r="A286" s="154" t="s">
        <v>8</v>
      </c>
      <c r="B286" s="1708">
        <v>58</v>
      </c>
      <c r="C286" s="1710" t="s">
        <v>27</v>
      </c>
      <c r="D286" s="1710" t="s">
        <v>1036</v>
      </c>
      <c r="E286" s="1714">
        <v>21910</v>
      </c>
      <c r="F286" s="1710" t="s">
        <v>1037</v>
      </c>
      <c r="G286" s="1716">
        <v>0</v>
      </c>
      <c r="H286" s="1702" t="s">
        <v>96</v>
      </c>
      <c r="I286" s="154" t="s">
        <v>8</v>
      </c>
    </row>
    <row r="287" spans="1:9">
      <c r="A287" s="154" t="s">
        <v>8</v>
      </c>
      <c r="B287" s="1708">
        <v>59</v>
      </c>
      <c r="C287" s="1710" t="s">
        <v>27</v>
      </c>
      <c r="D287" s="1710" t="s">
        <v>1038</v>
      </c>
      <c r="E287" s="1714">
        <v>26079</v>
      </c>
      <c r="F287" s="1710" t="s">
        <v>1039</v>
      </c>
      <c r="G287" s="1716">
        <v>0</v>
      </c>
      <c r="H287" s="1702" t="s">
        <v>96</v>
      </c>
      <c r="I287" s="154" t="s">
        <v>8</v>
      </c>
    </row>
    <row r="288" spans="1:9">
      <c r="A288" s="154" t="s">
        <v>8</v>
      </c>
      <c r="B288" s="1708">
        <v>60</v>
      </c>
      <c r="C288" s="1710" t="s">
        <v>27</v>
      </c>
      <c r="D288" s="1710" t="s">
        <v>1040</v>
      </c>
      <c r="E288" s="1714">
        <v>30000</v>
      </c>
      <c r="F288" s="1710" t="s">
        <v>1041</v>
      </c>
      <c r="G288" s="1716">
        <v>0</v>
      </c>
      <c r="H288" s="1702" t="s">
        <v>96</v>
      </c>
      <c r="I288" s="154" t="s">
        <v>8</v>
      </c>
    </row>
    <row r="289" spans="1:9">
      <c r="A289" s="154" t="s">
        <v>8</v>
      </c>
      <c r="B289" s="1708">
        <v>61</v>
      </c>
      <c r="C289" s="1710" t="s">
        <v>27</v>
      </c>
      <c r="D289" s="1710" t="s">
        <v>1042</v>
      </c>
      <c r="E289" s="1714">
        <v>30000</v>
      </c>
      <c r="F289" s="1710" t="s">
        <v>1043</v>
      </c>
      <c r="G289" s="1716">
        <v>0</v>
      </c>
      <c r="H289" s="1702" t="s">
        <v>96</v>
      </c>
      <c r="I289" s="154" t="s">
        <v>8</v>
      </c>
    </row>
    <row r="290" spans="1:9">
      <c r="A290" s="154" t="s">
        <v>8</v>
      </c>
      <c r="B290" s="1708">
        <v>62</v>
      </c>
      <c r="C290" s="1710" t="s">
        <v>27</v>
      </c>
      <c r="D290" s="1710" t="s">
        <v>1044</v>
      </c>
      <c r="E290" s="1714">
        <v>30000</v>
      </c>
      <c r="F290" s="1710" t="s">
        <v>1045</v>
      </c>
      <c r="G290" s="1716">
        <v>0</v>
      </c>
      <c r="H290" s="1702" t="s">
        <v>96</v>
      </c>
      <c r="I290" s="154" t="s">
        <v>8</v>
      </c>
    </row>
    <row r="291" spans="1:9">
      <c r="A291" s="154" t="s">
        <v>8</v>
      </c>
      <c r="B291" s="1708">
        <v>63</v>
      </c>
      <c r="C291" s="1710" t="s">
        <v>27</v>
      </c>
      <c r="D291" s="1710" t="s">
        <v>1046</v>
      </c>
      <c r="E291" s="1714">
        <v>30500</v>
      </c>
      <c r="F291" s="1710" t="s">
        <v>1047</v>
      </c>
      <c r="G291" s="1716">
        <v>0</v>
      </c>
      <c r="H291" s="1702" t="s">
        <v>96</v>
      </c>
      <c r="I291" s="154" t="s">
        <v>8</v>
      </c>
    </row>
    <row r="292" spans="1:9">
      <c r="A292" s="154" t="s">
        <v>8</v>
      </c>
      <c r="B292" s="1708">
        <v>64</v>
      </c>
      <c r="C292" s="1710" t="s">
        <v>27</v>
      </c>
      <c r="D292" s="1710" t="s">
        <v>1048</v>
      </c>
      <c r="E292" s="1714">
        <v>35000</v>
      </c>
      <c r="F292" s="1710" t="s">
        <v>1049</v>
      </c>
      <c r="G292" s="1716">
        <v>0</v>
      </c>
      <c r="H292" s="1702" t="s">
        <v>96</v>
      </c>
      <c r="I292" s="154" t="s">
        <v>8</v>
      </c>
    </row>
    <row r="293" spans="1:9">
      <c r="A293" s="154" t="s">
        <v>8</v>
      </c>
      <c r="B293" s="1708">
        <v>65</v>
      </c>
      <c r="C293" s="1710" t="s">
        <v>27</v>
      </c>
      <c r="D293" s="1710" t="s">
        <v>1050</v>
      </c>
      <c r="E293" s="1714">
        <v>38791</v>
      </c>
      <c r="F293" s="1710" t="s">
        <v>1051</v>
      </c>
      <c r="G293" s="1716">
        <v>0</v>
      </c>
      <c r="H293" s="1702" t="s">
        <v>96</v>
      </c>
      <c r="I293" s="154" t="s">
        <v>8</v>
      </c>
    </row>
    <row r="294" spans="1:9">
      <c r="A294" s="154" t="s">
        <v>8</v>
      </c>
      <c r="B294" s="1708">
        <v>66</v>
      </c>
      <c r="C294" s="1710" t="s">
        <v>27</v>
      </c>
      <c r="D294" s="1710" t="s">
        <v>1052</v>
      </c>
      <c r="E294" s="1714">
        <v>40000</v>
      </c>
      <c r="F294" s="1710" t="s">
        <v>1053</v>
      </c>
      <c r="G294" s="1716">
        <v>0</v>
      </c>
      <c r="H294" s="1702" t="s">
        <v>96</v>
      </c>
      <c r="I294" s="154" t="s">
        <v>8</v>
      </c>
    </row>
    <row r="295" spans="1:9">
      <c r="A295" s="154" t="s">
        <v>8</v>
      </c>
      <c r="B295" s="1708">
        <v>67</v>
      </c>
      <c r="C295" s="1710" t="s">
        <v>27</v>
      </c>
      <c r="D295" s="1710" t="s">
        <v>1054</v>
      </c>
      <c r="E295" s="1714">
        <v>40000</v>
      </c>
      <c r="F295" s="1710" t="s">
        <v>1055</v>
      </c>
      <c r="G295" s="1716">
        <v>0</v>
      </c>
      <c r="H295" s="1702" t="s">
        <v>96</v>
      </c>
      <c r="I295" s="154" t="s">
        <v>8</v>
      </c>
    </row>
    <row r="296" spans="1:9">
      <c r="A296" s="154" t="s">
        <v>8</v>
      </c>
      <c r="B296" s="1708">
        <v>68</v>
      </c>
      <c r="C296" s="1710" t="s">
        <v>27</v>
      </c>
      <c r="D296" s="1710" t="s">
        <v>1056</v>
      </c>
      <c r="E296" s="1714">
        <v>47920</v>
      </c>
      <c r="F296" s="1710" t="s">
        <v>1057</v>
      </c>
      <c r="G296" s="1716">
        <v>0</v>
      </c>
      <c r="H296" s="1702" t="s">
        <v>96</v>
      </c>
      <c r="I296" s="154" t="s">
        <v>8</v>
      </c>
    </row>
    <row r="297" spans="1:9">
      <c r="A297" s="154" t="s">
        <v>8</v>
      </c>
      <c r="B297" s="1708">
        <v>69</v>
      </c>
      <c r="C297" s="1710" t="s">
        <v>27</v>
      </c>
      <c r="D297" s="1710" t="s">
        <v>1058</v>
      </c>
      <c r="E297" s="1714">
        <v>60000</v>
      </c>
      <c r="F297" s="1710" t="s">
        <v>1059</v>
      </c>
      <c r="G297" s="1716">
        <v>0</v>
      </c>
      <c r="H297" s="1702" t="s">
        <v>96</v>
      </c>
      <c r="I297" s="154" t="s">
        <v>8</v>
      </c>
    </row>
    <row r="298" spans="1:9">
      <c r="A298" s="154" t="s">
        <v>8</v>
      </c>
      <c r="B298" s="1708">
        <v>70</v>
      </c>
      <c r="C298" s="1710" t="s">
        <v>27</v>
      </c>
      <c r="D298" s="1710" t="s">
        <v>1060</v>
      </c>
      <c r="E298" s="1714">
        <v>61560</v>
      </c>
      <c r="F298" s="1710" t="s">
        <v>1061</v>
      </c>
      <c r="G298" s="1716">
        <v>0</v>
      </c>
      <c r="H298" s="1702" t="s">
        <v>96</v>
      </c>
      <c r="I298" s="154" t="s">
        <v>8</v>
      </c>
    </row>
    <row r="299" spans="1:9">
      <c r="A299" s="154" t="s">
        <v>8</v>
      </c>
      <c r="B299" s="1708">
        <v>71</v>
      </c>
      <c r="C299" s="1710" t="s">
        <v>27</v>
      </c>
      <c r="D299" s="1710" t="s">
        <v>1062</v>
      </c>
      <c r="E299" s="1714">
        <v>66240</v>
      </c>
      <c r="F299" s="1710" t="s">
        <v>1063</v>
      </c>
      <c r="G299" s="1716">
        <v>0</v>
      </c>
      <c r="H299" s="1702" t="s">
        <v>96</v>
      </c>
      <c r="I299" s="154" t="s">
        <v>8</v>
      </c>
    </row>
    <row r="300" spans="1:9">
      <c r="A300" s="154" t="s">
        <v>8</v>
      </c>
      <c r="B300" s="1708">
        <v>72</v>
      </c>
      <c r="C300" s="1710" t="s">
        <v>27</v>
      </c>
      <c r="D300" s="1710" t="s">
        <v>1064</v>
      </c>
      <c r="E300" s="1714">
        <v>85000</v>
      </c>
      <c r="F300" s="1710" t="s">
        <v>1065</v>
      </c>
      <c r="G300" s="1716">
        <v>0</v>
      </c>
      <c r="H300" s="1702" t="s">
        <v>96</v>
      </c>
      <c r="I300" s="154" t="s">
        <v>8</v>
      </c>
    </row>
    <row r="301" spans="1:9">
      <c r="A301" s="154" t="s">
        <v>8</v>
      </c>
      <c r="B301" s="1708">
        <v>73</v>
      </c>
      <c r="C301" s="1710" t="s">
        <v>27</v>
      </c>
      <c r="D301" s="1710" t="s">
        <v>1066</v>
      </c>
      <c r="E301" s="1714">
        <v>90000</v>
      </c>
      <c r="F301" s="1710" t="s">
        <v>1067</v>
      </c>
      <c r="G301" s="1716">
        <v>0</v>
      </c>
      <c r="H301" s="1702" t="s">
        <v>96</v>
      </c>
      <c r="I301" s="154" t="s">
        <v>8</v>
      </c>
    </row>
    <row r="302" spans="1:9">
      <c r="A302" s="154" t="s">
        <v>8</v>
      </c>
      <c r="B302" s="1708">
        <v>74</v>
      </c>
      <c r="C302" s="1710" t="s">
        <v>27</v>
      </c>
      <c r="D302" s="1710" t="s">
        <v>1068</v>
      </c>
      <c r="E302" s="1714">
        <v>100000</v>
      </c>
      <c r="F302" s="1710" t="s">
        <v>1069</v>
      </c>
      <c r="G302" s="1716">
        <v>0</v>
      </c>
      <c r="H302" s="1702" t="s">
        <v>96</v>
      </c>
      <c r="I302" s="154" t="s">
        <v>8</v>
      </c>
    </row>
    <row r="303" spans="1:9">
      <c r="A303" s="154" t="s">
        <v>8</v>
      </c>
      <c r="B303" s="1708">
        <v>75</v>
      </c>
      <c r="C303" s="1710" t="s">
        <v>27</v>
      </c>
      <c r="D303" s="1710" t="s">
        <v>1070</v>
      </c>
      <c r="E303" s="1714">
        <v>100000</v>
      </c>
      <c r="F303" s="1710" t="s">
        <v>1071</v>
      </c>
      <c r="G303" s="1716">
        <v>0</v>
      </c>
      <c r="H303" s="1702" t="s">
        <v>96</v>
      </c>
      <c r="I303" s="154" t="s">
        <v>8</v>
      </c>
    </row>
    <row r="304" spans="1:9">
      <c r="A304" s="154" t="s">
        <v>8</v>
      </c>
      <c r="B304" s="1708">
        <v>76</v>
      </c>
      <c r="C304" s="1710" t="s">
        <v>27</v>
      </c>
      <c r="D304" s="1710" t="s">
        <v>1072</v>
      </c>
      <c r="E304" s="1714">
        <v>115772</v>
      </c>
      <c r="F304" s="1710" t="s">
        <v>1073</v>
      </c>
      <c r="G304" s="1716">
        <v>0</v>
      </c>
      <c r="H304" s="1702" t="s">
        <v>96</v>
      </c>
      <c r="I304" s="154" t="s">
        <v>8</v>
      </c>
    </row>
    <row r="305" spans="1:9">
      <c r="A305" s="154" t="s">
        <v>8</v>
      </c>
      <c r="B305" s="1708">
        <v>77</v>
      </c>
      <c r="C305" s="1710" t="s">
        <v>27</v>
      </c>
      <c r="D305" s="1710" t="s">
        <v>1074</v>
      </c>
      <c r="E305" s="1714">
        <v>160000</v>
      </c>
      <c r="F305" s="1710" t="s">
        <v>1075</v>
      </c>
      <c r="G305" s="1716">
        <v>0</v>
      </c>
      <c r="H305" s="1702" t="s">
        <v>96</v>
      </c>
      <c r="I305" s="154" t="s">
        <v>8</v>
      </c>
    </row>
    <row r="306" spans="1:9">
      <c r="A306" s="154" t="s">
        <v>8</v>
      </c>
      <c r="B306" s="1708">
        <v>78</v>
      </c>
      <c r="C306" s="1710" t="s">
        <v>27</v>
      </c>
      <c r="D306" s="1710" t="s">
        <v>1076</v>
      </c>
      <c r="E306" s="1714">
        <v>200000</v>
      </c>
      <c r="F306" s="1710" t="s">
        <v>1077</v>
      </c>
      <c r="G306" s="1716">
        <v>0</v>
      </c>
      <c r="H306" s="1702" t="s">
        <v>96</v>
      </c>
      <c r="I306" s="154" t="s">
        <v>8</v>
      </c>
    </row>
    <row r="307" spans="1:9">
      <c r="A307" s="154" t="s">
        <v>8</v>
      </c>
      <c r="B307" s="1708">
        <v>79</v>
      </c>
      <c r="C307" s="1710" t="s">
        <v>27</v>
      </c>
      <c r="D307" s="1710" t="s">
        <v>1078</v>
      </c>
      <c r="E307" s="1714">
        <v>643858.84</v>
      </c>
      <c r="F307" s="1710" t="s">
        <v>1079</v>
      </c>
      <c r="G307" s="1716">
        <v>0</v>
      </c>
      <c r="H307" s="1702" t="s">
        <v>96</v>
      </c>
      <c r="I307" s="154" t="s">
        <v>8</v>
      </c>
    </row>
    <row r="308" spans="1:9">
      <c r="A308" s="154" t="s">
        <v>8</v>
      </c>
      <c r="B308" s="1708" t="s">
        <v>8</v>
      </c>
      <c r="C308" s="1710" t="s">
        <v>8</v>
      </c>
      <c r="D308" s="1710" t="s">
        <v>8</v>
      </c>
      <c r="E308" s="1714" t="s">
        <v>8</v>
      </c>
      <c r="F308" s="1710" t="s">
        <v>8</v>
      </c>
      <c r="G308" s="1716" t="s">
        <v>8</v>
      </c>
      <c r="H308" s="1702" t="s">
        <v>8</v>
      </c>
      <c r="I308" s="154" t="s">
        <v>8</v>
      </c>
    </row>
    <row r="309" spans="1:9" ht="15.75" thickBot="1">
      <c r="A309" s="154" t="s">
        <v>8</v>
      </c>
      <c r="B309" s="1709" t="s">
        <v>8</v>
      </c>
      <c r="C309" s="1711" t="s">
        <v>8</v>
      </c>
      <c r="D309" s="1713" t="s">
        <v>51</v>
      </c>
      <c r="E309" s="1715">
        <f>SUM($E$229:$E$308)</f>
        <v>5937616.3099999996</v>
      </c>
      <c r="F309" s="1711" t="s">
        <v>8</v>
      </c>
      <c r="G309" s="1717" t="s">
        <v>8</v>
      </c>
      <c r="H309" s="1697" t="s">
        <v>8</v>
      </c>
      <c r="I309" s="154" t="s">
        <v>8</v>
      </c>
    </row>
    <row r="310" spans="1:9" ht="16.5" thickTop="1" thickBot="1">
      <c r="A310" s="154" t="s">
        <v>8</v>
      </c>
      <c r="B310" s="1699" t="s">
        <v>8</v>
      </c>
      <c r="C310" s="154" t="s">
        <v>8</v>
      </c>
      <c r="D310" s="154" t="s">
        <v>8</v>
      </c>
      <c r="E310" s="155" t="s">
        <v>8</v>
      </c>
      <c r="F310" s="154" t="s">
        <v>8</v>
      </c>
      <c r="G310" s="1698" t="s">
        <v>8</v>
      </c>
      <c r="H310" s="154" t="s">
        <v>8</v>
      </c>
      <c r="I310" s="154" t="s">
        <v>8</v>
      </c>
    </row>
    <row r="311" spans="1:9" ht="15.75" thickTop="1">
      <c r="A311" s="154" t="s">
        <v>8</v>
      </c>
      <c r="B311" s="1718" t="s">
        <v>8</v>
      </c>
      <c r="C311" s="1693" t="s">
        <v>8</v>
      </c>
      <c r="D311" s="1693" t="s">
        <v>8</v>
      </c>
      <c r="E311" s="1719" t="s">
        <v>8</v>
      </c>
      <c r="F311" s="1693" t="s">
        <v>8</v>
      </c>
      <c r="G311" s="1720" t="s">
        <v>8</v>
      </c>
      <c r="H311" s="1694" t="s">
        <v>8</v>
      </c>
      <c r="I311" s="154" t="s">
        <v>8</v>
      </c>
    </row>
    <row r="312" spans="1:9">
      <c r="A312" s="154" t="s">
        <v>8</v>
      </c>
      <c r="B312" s="1701" t="s">
        <v>8</v>
      </c>
      <c r="C312" s="2162" t="s">
        <v>8</v>
      </c>
      <c r="D312" s="2164" t="s">
        <v>114</v>
      </c>
      <c r="E312" s="2163">
        <f>ABS(E13+$E$27-$E$309+$E$206-$E$225)</f>
        <v>21846263.830000002</v>
      </c>
      <c r="F312" s="2162" t="s">
        <v>8</v>
      </c>
      <c r="G312" s="2166" t="s">
        <v>8</v>
      </c>
      <c r="H312" s="1702" t="s">
        <v>8</v>
      </c>
      <c r="I312" s="154" t="s">
        <v>8</v>
      </c>
    </row>
    <row r="313" spans="1:9">
      <c r="A313" s="154" t="s">
        <v>8</v>
      </c>
      <c r="B313" s="1701" t="s">
        <v>8</v>
      </c>
      <c r="C313" s="2162" t="s">
        <v>8</v>
      </c>
      <c r="D313" s="2164" t="s">
        <v>115</v>
      </c>
      <c r="E313" s="2163">
        <v>21846263.829999998</v>
      </c>
      <c r="F313" s="2162" t="s">
        <v>8</v>
      </c>
      <c r="G313" s="2166" t="s">
        <v>8</v>
      </c>
      <c r="H313" s="1702" t="s">
        <v>8</v>
      </c>
      <c r="I313" s="154" t="s">
        <v>116</v>
      </c>
    </row>
    <row r="314" spans="1:9" ht="15.75" thickBot="1">
      <c r="A314" s="154" t="s">
        <v>8</v>
      </c>
      <c r="B314" s="1703" t="s">
        <v>8</v>
      </c>
      <c r="C314" s="1696" t="s">
        <v>8</v>
      </c>
      <c r="D314" s="1704" t="s">
        <v>117</v>
      </c>
      <c r="E314" s="1705">
        <f>$E$313-$E$312</f>
        <v>0</v>
      </c>
      <c r="F314" s="1696" t="s">
        <v>8</v>
      </c>
      <c r="G314" s="1706" t="s">
        <v>8</v>
      </c>
      <c r="H314" s="1697" t="s">
        <v>8</v>
      </c>
      <c r="I314" s="154" t="s">
        <v>8</v>
      </c>
    </row>
    <row r="315" spans="1:9" ht="16.5" thickTop="1" thickBot="1">
      <c r="A315" s="154" t="s">
        <v>8</v>
      </c>
      <c r="B315" s="1699" t="s">
        <v>8</v>
      </c>
      <c r="C315" s="154" t="s">
        <v>8</v>
      </c>
      <c r="D315" s="154" t="s">
        <v>8</v>
      </c>
      <c r="E315" s="155" t="s">
        <v>8</v>
      </c>
      <c r="F315" s="154" t="s">
        <v>8</v>
      </c>
      <c r="G315" s="1698" t="s">
        <v>8</v>
      </c>
      <c r="H315" s="154" t="s">
        <v>8</v>
      </c>
      <c r="I315" s="154" t="s">
        <v>8</v>
      </c>
    </row>
    <row r="316" spans="1:9" ht="15.75" thickTop="1">
      <c r="A316" s="154" t="s">
        <v>8</v>
      </c>
      <c r="B316" s="1718" t="s">
        <v>8</v>
      </c>
      <c r="C316" s="1693" t="s">
        <v>8</v>
      </c>
      <c r="D316" s="1700" t="s">
        <v>118</v>
      </c>
      <c r="E316" s="1724" t="s">
        <v>119</v>
      </c>
      <c r="F316" s="1700" t="s">
        <v>120</v>
      </c>
      <c r="G316" s="1720">
        <v>45981</v>
      </c>
      <c r="H316" s="1694" t="s">
        <v>8</v>
      </c>
      <c r="I316" s="154" t="s">
        <v>8</v>
      </c>
    </row>
    <row r="317" spans="1:9">
      <c r="A317" s="154" t="s">
        <v>8</v>
      </c>
      <c r="B317" s="1701" t="s">
        <v>8</v>
      </c>
      <c r="C317" s="2162" t="s">
        <v>8</v>
      </c>
      <c r="D317" s="2162" t="s">
        <v>8</v>
      </c>
      <c r="E317" s="2165" t="s">
        <v>8</v>
      </c>
      <c r="F317" s="2162" t="s">
        <v>8</v>
      </c>
      <c r="G317" s="2166" t="s">
        <v>8</v>
      </c>
      <c r="H317" s="1702" t="s">
        <v>8</v>
      </c>
      <c r="I317" s="154" t="s">
        <v>8</v>
      </c>
    </row>
    <row r="318" spans="1:9">
      <c r="A318" s="154" t="s">
        <v>8</v>
      </c>
      <c r="B318" s="1701" t="s">
        <v>8</v>
      </c>
      <c r="C318" s="2162" t="s">
        <v>8</v>
      </c>
      <c r="D318" s="2162" t="s">
        <v>8</v>
      </c>
      <c r="E318" s="2165" t="s">
        <v>8</v>
      </c>
      <c r="F318" s="2162" t="s">
        <v>8</v>
      </c>
      <c r="G318" s="2166" t="s">
        <v>8</v>
      </c>
      <c r="H318" s="1702" t="s">
        <v>8</v>
      </c>
      <c r="I318" s="154" t="s">
        <v>8</v>
      </c>
    </row>
    <row r="319" spans="1:9">
      <c r="A319" s="154" t="s">
        <v>8</v>
      </c>
      <c r="B319" s="1701" t="s">
        <v>8</v>
      </c>
      <c r="C319" s="2162" t="s">
        <v>8</v>
      </c>
      <c r="D319" s="2164" t="s">
        <v>121</v>
      </c>
      <c r="E319" s="2163" t="s">
        <v>8</v>
      </c>
      <c r="F319" s="2164" t="s">
        <v>120</v>
      </c>
      <c r="G319" s="2166" t="s">
        <v>8</v>
      </c>
      <c r="H319" s="1702" t="s">
        <v>8</v>
      </c>
      <c r="I319" s="154" t="s">
        <v>8</v>
      </c>
    </row>
    <row r="320" spans="1:9">
      <c r="B320" s="180"/>
      <c r="C320" s="1919"/>
      <c r="D320" s="1919"/>
      <c r="E320" s="1919"/>
      <c r="F320" s="1919"/>
      <c r="G320" s="1919"/>
      <c r="H320" s="181"/>
    </row>
    <row r="321" spans="2:8" ht="15.75" thickBot="1">
      <c r="B321" s="182"/>
      <c r="C321" s="183"/>
      <c r="D321" s="183"/>
      <c r="E321" s="183"/>
      <c r="F321" s="183"/>
      <c r="G321" s="183"/>
      <c r="H321" s="184"/>
    </row>
    <row r="322" spans="2:8" ht="15.75" thickTop="1"/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4.28515625" bestFit="1" customWidth="1"/>
    <col min="5" max="5" width="24.5703125" bestFit="1" customWidth="1"/>
    <col min="6" max="6" width="17.42578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196</v>
      </c>
    </row>
    <row r="2" spans="1:9">
      <c r="A2" s="157" t="s">
        <v>8</v>
      </c>
      <c r="B2" s="157" t="s">
        <v>8</v>
      </c>
      <c r="C2" s="157" t="s">
        <v>8</v>
      </c>
      <c r="D2" s="157" t="s">
        <v>8</v>
      </c>
      <c r="E2" s="157" t="s">
        <v>8</v>
      </c>
      <c r="F2" s="157" t="s">
        <v>8</v>
      </c>
      <c r="G2" s="157" t="s">
        <v>8</v>
      </c>
      <c r="H2" s="157" t="s">
        <v>8</v>
      </c>
      <c r="I2" s="157" t="s">
        <v>8</v>
      </c>
    </row>
    <row r="3" spans="1:9" ht="15.75" thickBot="1">
      <c r="A3" s="157" t="s">
        <v>8</v>
      </c>
      <c r="B3" s="157" t="s">
        <v>8</v>
      </c>
      <c r="C3" s="157" t="s">
        <v>8</v>
      </c>
      <c r="D3" s="157" t="s">
        <v>8</v>
      </c>
      <c r="E3" s="157" t="s">
        <v>8</v>
      </c>
      <c r="F3" s="157" t="s">
        <v>8</v>
      </c>
      <c r="G3" s="157" t="s">
        <v>8</v>
      </c>
      <c r="H3" s="157" t="s">
        <v>8</v>
      </c>
      <c r="I3" s="157" t="s">
        <v>8</v>
      </c>
    </row>
    <row r="4" spans="1:9" ht="16.5" thickTop="1" thickBot="1">
      <c r="A4" s="157" t="s">
        <v>8</v>
      </c>
      <c r="B4" s="157" t="s">
        <v>14</v>
      </c>
      <c r="C4" s="157" t="s">
        <v>8</v>
      </c>
      <c r="D4" s="1726" t="s">
        <v>15</v>
      </c>
      <c r="E4" s="157" t="s">
        <v>16</v>
      </c>
      <c r="F4" s="1726" t="s">
        <v>1080</v>
      </c>
      <c r="G4" s="157" t="s">
        <v>8</v>
      </c>
      <c r="H4" s="157" t="s">
        <v>8</v>
      </c>
      <c r="I4" s="157" t="s">
        <v>8</v>
      </c>
    </row>
    <row r="5" spans="1:9" ht="16.5" thickTop="1" thickBot="1">
      <c r="A5" s="157" t="s">
        <v>8</v>
      </c>
      <c r="B5" s="157" t="s">
        <v>8</v>
      </c>
      <c r="C5" s="157" t="s">
        <v>8</v>
      </c>
      <c r="D5" s="157" t="s">
        <v>8</v>
      </c>
      <c r="E5" s="157" t="s">
        <v>8</v>
      </c>
      <c r="F5" s="157" t="s">
        <v>8</v>
      </c>
      <c r="G5" s="157" t="s">
        <v>8</v>
      </c>
      <c r="H5" s="157" t="s">
        <v>8</v>
      </c>
      <c r="I5" s="157" t="s">
        <v>8</v>
      </c>
    </row>
    <row r="6" spans="1:9" ht="16.5" thickTop="1" thickBot="1">
      <c r="A6" s="157" t="s">
        <v>8</v>
      </c>
      <c r="B6" s="157" t="s">
        <v>18</v>
      </c>
      <c r="C6" s="157" t="s">
        <v>8</v>
      </c>
      <c r="D6" s="1726" t="s">
        <v>19</v>
      </c>
      <c r="E6" s="157" t="s">
        <v>20</v>
      </c>
      <c r="F6" s="1726" t="s">
        <v>1081</v>
      </c>
      <c r="G6" s="157" t="s">
        <v>8</v>
      </c>
      <c r="H6" s="157" t="s">
        <v>8</v>
      </c>
      <c r="I6" s="157" t="s">
        <v>8</v>
      </c>
    </row>
    <row r="7" spans="1:9" ht="16.5" thickTop="1" thickBot="1">
      <c r="A7" s="157" t="s">
        <v>8</v>
      </c>
      <c r="B7" s="157" t="s">
        <v>8</v>
      </c>
      <c r="C7" s="157" t="s">
        <v>8</v>
      </c>
      <c r="D7" s="157" t="s">
        <v>8</v>
      </c>
      <c r="E7" s="157" t="s">
        <v>8</v>
      </c>
      <c r="F7" s="157" t="s">
        <v>8</v>
      </c>
      <c r="G7" s="157" t="s">
        <v>8</v>
      </c>
      <c r="H7" s="157" t="s">
        <v>8</v>
      </c>
      <c r="I7" s="157" t="s">
        <v>8</v>
      </c>
    </row>
    <row r="8" spans="1:9" ht="16.5" thickTop="1" thickBot="1">
      <c r="A8" s="157" t="s">
        <v>8</v>
      </c>
      <c r="B8" s="157" t="s">
        <v>22</v>
      </c>
      <c r="C8" s="157" t="s">
        <v>8</v>
      </c>
      <c r="D8" s="1726" t="s">
        <v>11</v>
      </c>
      <c r="E8" s="157" t="s">
        <v>23</v>
      </c>
      <c r="F8" s="1726" t="s">
        <v>1082</v>
      </c>
      <c r="G8" s="157" t="s">
        <v>8</v>
      </c>
      <c r="H8" s="157" t="s">
        <v>8</v>
      </c>
      <c r="I8" s="157" t="s">
        <v>8</v>
      </c>
    </row>
    <row r="9" spans="1:9" ht="16.5" thickTop="1" thickBot="1">
      <c r="A9" s="157" t="s">
        <v>8</v>
      </c>
      <c r="B9" s="157" t="s">
        <v>8</v>
      </c>
      <c r="C9" s="157" t="s">
        <v>8</v>
      </c>
      <c r="D9" s="157" t="s">
        <v>8</v>
      </c>
      <c r="E9" s="157" t="s">
        <v>8</v>
      </c>
      <c r="F9" s="157" t="s">
        <v>8</v>
      </c>
      <c r="G9" s="157" t="s">
        <v>8</v>
      </c>
      <c r="H9" s="157" t="s">
        <v>8</v>
      </c>
      <c r="I9" s="157" t="s">
        <v>8</v>
      </c>
    </row>
    <row r="10" spans="1:9" ht="16.5" thickTop="1" thickBot="1">
      <c r="A10" s="157" t="s">
        <v>8</v>
      </c>
      <c r="B10" s="157" t="s">
        <v>25</v>
      </c>
      <c r="C10" s="157" t="s">
        <v>8</v>
      </c>
      <c r="D10" s="1726" t="s">
        <v>26</v>
      </c>
      <c r="E10" s="157" t="s">
        <v>8</v>
      </c>
      <c r="F10" s="157" t="s">
        <v>8</v>
      </c>
      <c r="G10" s="157" t="s">
        <v>8</v>
      </c>
      <c r="H10" s="157" t="s">
        <v>8</v>
      </c>
      <c r="I10" s="157" t="s">
        <v>8</v>
      </c>
    </row>
    <row r="11" spans="1:9" ht="16.5" thickTop="1" thickBot="1">
      <c r="A11" s="157" t="s">
        <v>8</v>
      </c>
      <c r="B11" s="157" t="s">
        <v>8</v>
      </c>
      <c r="C11" s="157" t="s">
        <v>8</v>
      </c>
      <c r="D11" s="157" t="s">
        <v>8</v>
      </c>
      <c r="E11" s="157" t="s">
        <v>8</v>
      </c>
      <c r="F11" s="157" t="s">
        <v>8</v>
      </c>
      <c r="G11" s="157" t="s">
        <v>8</v>
      </c>
      <c r="H11" s="157" t="s">
        <v>8</v>
      </c>
      <c r="I11" s="157" t="s">
        <v>8</v>
      </c>
    </row>
    <row r="12" spans="1:9" ht="16.5" thickTop="1" thickBot="1">
      <c r="A12" s="157" t="s">
        <v>8</v>
      </c>
      <c r="B12" s="1727" t="s">
        <v>8</v>
      </c>
      <c r="C12" s="1728" t="s">
        <v>8</v>
      </c>
      <c r="D12" s="1728" t="s">
        <v>8</v>
      </c>
      <c r="E12" s="1728" t="s">
        <v>8</v>
      </c>
      <c r="F12" s="1728" t="s">
        <v>8</v>
      </c>
      <c r="G12" s="1728" t="s">
        <v>8</v>
      </c>
      <c r="H12" s="1729" t="s">
        <v>8</v>
      </c>
      <c r="I12" s="157" t="s">
        <v>8</v>
      </c>
    </row>
    <row r="13" spans="1:9" ht="16.5" thickTop="1" thickBot="1">
      <c r="A13" s="157" t="s">
        <v>8</v>
      </c>
      <c r="B13" s="1730" t="s">
        <v>8</v>
      </c>
      <c r="C13" s="1725" t="s">
        <v>11</v>
      </c>
      <c r="D13" s="1731" t="s">
        <v>28</v>
      </c>
      <c r="E13" s="1740">
        <v>2846163.3</v>
      </c>
      <c r="F13" s="1731" t="s">
        <v>8</v>
      </c>
      <c r="G13" s="1731" t="s">
        <v>8</v>
      </c>
      <c r="H13" s="1732" t="s">
        <v>8</v>
      </c>
      <c r="I13" s="157" t="s">
        <v>29</v>
      </c>
    </row>
    <row r="14" spans="1:9" ht="16.5" thickTop="1" thickBot="1">
      <c r="A14" s="157" t="s">
        <v>8</v>
      </c>
      <c r="B14" s="157" t="s">
        <v>8</v>
      </c>
      <c r="C14" s="157" t="s">
        <v>8</v>
      </c>
      <c r="D14" s="157" t="s">
        <v>8</v>
      </c>
      <c r="E14" s="157" t="s">
        <v>8</v>
      </c>
      <c r="F14" s="157" t="s">
        <v>8</v>
      </c>
      <c r="G14" s="157" t="s">
        <v>8</v>
      </c>
      <c r="H14" s="157" t="s">
        <v>8</v>
      </c>
      <c r="I14" s="157" t="s">
        <v>8</v>
      </c>
    </row>
    <row r="15" spans="1:9" ht="16.5" thickTop="1" thickBot="1">
      <c r="A15" s="157" t="s">
        <v>8</v>
      </c>
      <c r="B15" s="1726" t="s">
        <v>30</v>
      </c>
      <c r="C15" s="1725" t="s">
        <v>31</v>
      </c>
      <c r="D15" s="1725" t="s">
        <v>32</v>
      </c>
      <c r="E15" s="1725" t="s">
        <v>33</v>
      </c>
      <c r="F15" s="1725" t="s">
        <v>34</v>
      </c>
      <c r="G15" s="1725" t="s">
        <v>35</v>
      </c>
      <c r="H15" s="1725" t="s">
        <v>36</v>
      </c>
      <c r="I15" s="157" t="s">
        <v>8</v>
      </c>
    </row>
    <row r="16" spans="1:9" ht="16.5" thickTop="1" thickBot="1">
      <c r="A16" s="157" t="s">
        <v>8</v>
      </c>
      <c r="B16" s="157" t="s">
        <v>8</v>
      </c>
      <c r="C16" s="157" t="s">
        <v>8</v>
      </c>
      <c r="D16" s="157" t="s">
        <v>8</v>
      </c>
      <c r="E16" s="157" t="s">
        <v>8</v>
      </c>
      <c r="F16" s="157" t="s">
        <v>8</v>
      </c>
      <c r="G16" s="157" t="s">
        <v>8</v>
      </c>
      <c r="H16" s="157" t="s">
        <v>8</v>
      </c>
      <c r="I16" s="157" t="s">
        <v>8</v>
      </c>
    </row>
    <row r="17" spans="1:9" ht="15.75" thickTop="1">
      <c r="A17" s="157" t="s">
        <v>8</v>
      </c>
      <c r="B17" s="1742" t="s">
        <v>8</v>
      </c>
      <c r="C17" s="1742" t="s">
        <v>8</v>
      </c>
      <c r="D17" s="1747" t="s">
        <v>1083</v>
      </c>
      <c r="E17" s="1742" t="s">
        <v>8</v>
      </c>
      <c r="F17" s="1742" t="s">
        <v>8</v>
      </c>
      <c r="G17" s="1742" t="s">
        <v>8</v>
      </c>
      <c r="H17" s="1729" t="s">
        <v>8</v>
      </c>
      <c r="I17" s="157" t="s">
        <v>8</v>
      </c>
    </row>
    <row r="18" spans="1:9">
      <c r="A18" s="157" t="s">
        <v>8</v>
      </c>
      <c r="B18" s="1743" t="s">
        <v>8</v>
      </c>
      <c r="C18" s="1745" t="s">
        <v>8</v>
      </c>
      <c r="D18" s="1745" t="s">
        <v>8</v>
      </c>
      <c r="E18" s="1749" t="s">
        <v>8</v>
      </c>
      <c r="F18" s="1745" t="s">
        <v>8</v>
      </c>
      <c r="G18" s="1751" t="s">
        <v>8</v>
      </c>
      <c r="H18" s="1737" t="s">
        <v>8</v>
      </c>
      <c r="I18" s="157" t="s">
        <v>8</v>
      </c>
    </row>
    <row r="19" spans="1:9">
      <c r="A19" s="157" t="s">
        <v>8</v>
      </c>
      <c r="B19" s="1743" t="s">
        <v>8</v>
      </c>
      <c r="C19" s="1745" t="s">
        <v>8</v>
      </c>
      <c r="D19" s="1745" t="s">
        <v>8</v>
      </c>
      <c r="E19" s="1749" t="s">
        <v>8</v>
      </c>
      <c r="F19" s="1745" t="s">
        <v>8</v>
      </c>
      <c r="G19" s="1751" t="s">
        <v>8</v>
      </c>
      <c r="H19" s="1737" t="s">
        <v>8</v>
      </c>
      <c r="I19" s="157" t="s">
        <v>8</v>
      </c>
    </row>
    <row r="20" spans="1:9" ht="15.75" thickBot="1">
      <c r="A20" s="157" t="s">
        <v>8</v>
      </c>
      <c r="B20" s="1744" t="s">
        <v>8</v>
      </c>
      <c r="C20" s="1746" t="s">
        <v>8</v>
      </c>
      <c r="D20" s="1748" t="s">
        <v>51</v>
      </c>
      <c r="E20" s="1750">
        <f>SUM($E$18:$E$19)</f>
        <v>0</v>
      </c>
      <c r="F20" s="1746" t="s">
        <v>8</v>
      </c>
      <c r="G20" s="1752" t="s">
        <v>8</v>
      </c>
      <c r="H20" s="1732" t="s">
        <v>8</v>
      </c>
      <c r="I20" s="157" t="s">
        <v>8</v>
      </c>
    </row>
    <row r="21" spans="1:9" ht="15.75" thickTop="1">
      <c r="A21" s="157" t="s">
        <v>8</v>
      </c>
      <c r="B21" s="1734" t="s">
        <v>8</v>
      </c>
      <c r="C21" s="157" t="s">
        <v>8</v>
      </c>
      <c r="D21" s="157" t="s">
        <v>8</v>
      </c>
      <c r="E21" s="158" t="s">
        <v>8</v>
      </c>
      <c r="F21" s="157" t="s">
        <v>8</v>
      </c>
      <c r="G21" s="1733" t="s">
        <v>8</v>
      </c>
      <c r="H21" s="157" t="s">
        <v>8</v>
      </c>
      <c r="I21" s="157" t="s">
        <v>8</v>
      </c>
    </row>
    <row r="22" spans="1:9" ht="15.75" thickBot="1">
      <c r="A22" s="157" t="s">
        <v>8</v>
      </c>
      <c r="B22" s="1734" t="s">
        <v>8</v>
      </c>
      <c r="C22" s="157" t="s">
        <v>8</v>
      </c>
      <c r="D22" s="157" t="s">
        <v>8</v>
      </c>
      <c r="E22" s="158" t="s">
        <v>8</v>
      </c>
      <c r="F22" s="157" t="s">
        <v>8</v>
      </c>
      <c r="G22" s="1733" t="s">
        <v>8</v>
      </c>
      <c r="H22" s="157" t="s">
        <v>8</v>
      </c>
      <c r="I22" s="157" t="s">
        <v>8</v>
      </c>
    </row>
    <row r="23" spans="1:9" ht="15.75" thickTop="1">
      <c r="A23" s="157" t="s">
        <v>8</v>
      </c>
      <c r="B23" s="1756" t="s">
        <v>8</v>
      </c>
      <c r="C23" s="1742" t="s">
        <v>8</v>
      </c>
      <c r="D23" s="1747" t="s">
        <v>1084</v>
      </c>
      <c r="E23" s="1757" t="s">
        <v>8</v>
      </c>
      <c r="F23" s="1742" t="s">
        <v>8</v>
      </c>
      <c r="G23" s="1758" t="s">
        <v>8</v>
      </c>
      <c r="H23" s="1729" t="s">
        <v>8</v>
      </c>
      <c r="I23" s="157" t="s">
        <v>8</v>
      </c>
    </row>
    <row r="24" spans="1:9">
      <c r="A24" s="157" t="s">
        <v>8</v>
      </c>
      <c r="B24" s="1743" t="s">
        <v>8</v>
      </c>
      <c r="C24" s="1745" t="s">
        <v>8</v>
      </c>
      <c r="D24" s="1745" t="s">
        <v>8</v>
      </c>
      <c r="E24" s="1749" t="s">
        <v>8</v>
      </c>
      <c r="F24" s="1745" t="s">
        <v>8</v>
      </c>
      <c r="G24" s="1751" t="s">
        <v>8</v>
      </c>
      <c r="H24" s="1737" t="s">
        <v>8</v>
      </c>
      <c r="I24" s="157" t="s">
        <v>8</v>
      </c>
    </row>
    <row r="25" spans="1:9">
      <c r="A25" s="157" t="s">
        <v>8</v>
      </c>
      <c r="B25" s="1743" t="s">
        <v>8</v>
      </c>
      <c r="C25" s="1745" t="s">
        <v>8</v>
      </c>
      <c r="D25" s="1745" t="s">
        <v>8</v>
      </c>
      <c r="E25" s="1749" t="s">
        <v>8</v>
      </c>
      <c r="F25" s="1745" t="s">
        <v>8</v>
      </c>
      <c r="G25" s="1751" t="s">
        <v>8</v>
      </c>
      <c r="H25" s="1737" t="s">
        <v>8</v>
      </c>
      <c r="I25" s="157" t="s">
        <v>8</v>
      </c>
    </row>
    <row r="26" spans="1:9" ht="15.75" thickBot="1">
      <c r="A26" s="157" t="s">
        <v>8</v>
      </c>
      <c r="B26" s="1744" t="s">
        <v>8</v>
      </c>
      <c r="C26" s="1746" t="s">
        <v>8</v>
      </c>
      <c r="D26" s="1748" t="s">
        <v>51</v>
      </c>
      <c r="E26" s="1750">
        <f>SUM($E$24:$E$25)</f>
        <v>0</v>
      </c>
      <c r="F26" s="1746" t="s">
        <v>8</v>
      </c>
      <c r="G26" s="1752" t="s">
        <v>8</v>
      </c>
      <c r="H26" s="1732" t="s">
        <v>8</v>
      </c>
      <c r="I26" s="157" t="s">
        <v>8</v>
      </c>
    </row>
    <row r="27" spans="1:9" ht="15.75" thickTop="1">
      <c r="A27" s="157" t="s">
        <v>8</v>
      </c>
      <c r="B27" s="1734" t="s">
        <v>8</v>
      </c>
      <c r="C27" s="157" t="s">
        <v>8</v>
      </c>
      <c r="D27" s="157" t="s">
        <v>8</v>
      </c>
      <c r="E27" s="158" t="s">
        <v>8</v>
      </c>
      <c r="F27" s="157" t="s">
        <v>8</v>
      </c>
      <c r="G27" s="1733" t="s">
        <v>8</v>
      </c>
      <c r="H27" s="157" t="s">
        <v>8</v>
      </c>
      <c r="I27" s="157" t="s">
        <v>8</v>
      </c>
    </row>
    <row r="28" spans="1:9" ht="15.75" thickBot="1">
      <c r="A28" s="157" t="s">
        <v>8</v>
      </c>
      <c r="B28" s="1734" t="s">
        <v>8</v>
      </c>
      <c r="C28" s="157" t="s">
        <v>8</v>
      </c>
      <c r="D28" s="157" t="s">
        <v>8</v>
      </c>
      <c r="E28" s="158" t="s">
        <v>8</v>
      </c>
      <c r="F28" s="157" t="s">
        <v>8</v>
      </c>
      <c r="G28" s="1733" t="s">
        <v>8</v>
      </c>
      <c r="H28" s="157" t="s">
        <v>8</v>
      </c>
      <c r="I28" s="157" t="s">
        <v>8</v>
      </c>
    </row>
    <row r="29" spans="1:9" ht="15.75" thickTop="1">
      <c r="A29" s="157" t="s">
        <v>8</v>
      </c>
      <c r="B29" s="1756" t="s">
        <v>8</v>
      </c>
      <c r="C29" s="1742" t="s">
        <v>8</v>
      </c>
      <c r="D29" s="1747" t="s">
        <v>1085</v>
      </c>
      <c r="E29" s="1757" t="s">
        <v>8</v>
      </c>
      <c r="F29" s="1742" t="s">
        <v>8</v>
      </c>
      <c r="G29" s="1758" t="s">
        <v>8</v>
      </c>
      <c r="H29" s="1729" t="s">
        <v>8</v>
      </c>
      <c r="I29" s="157" t="s">
        <v>8</v>
      </c>
    </row>
    <row r="30" spans="1:9">
      <c r="A30" s="157" t="s">
        <v>8</v>
      </c>
      <c r="B30" s="1743">
        <v>1</v>
      </c>
      <c r="C30" s="1745" t="s">
        <v>27</v>
      </c>
      <c r="D30" s="1745" t="s">
        <v>1086</v>
      </c>
      <c r="E30" s="1749">
        <v>10891.91</v>
      </c>
      <c r="F30" s="1745" t="s">
        <v>8</v>
      </c>
      <c r="G30" s="1751">
        <v>0</v>
      </c>
      <c r="H30" s="1737" t="s">
        <v>88</v>
      </c>
      <c r="I30" s="157" t="s">
        <v>8</v>
      </c>
    </row>
    <row r="31" spans="1:9">
      <c r="A31" s="157" t="s">
        <v>8</v>
      </c>
      <c r="B31" s="1743" t="s">
        <v>8</v>
      </c>
      <c r="C31" s="1745" t="s">
        <v>8</v>
      </c>
      <c r="D31" s="1745" t="s">
        <v>8</v>
      </c>
      <c r="E31" s="1749" t="s">
        <v>8</v>
      </c>
      <c r="F31" s="1745" t="s">
        <v>8</v>
      </c>
      <c r="G31" s="1751" t="s">
        <v>8</v>
      </c>
      <c r="H31" s="1737" t="s">
        <v>8</v>
      </c>
      <c r="I31" s="157" t="s">
        <v>8</v>
      </c>
    </row>
    <row r="32" spans="1:9" ht="15.75" thickBot="1">
      <c r="A32" s="157" t="s">
        <v>8</v>
      </c>
      <c r="B32" s="1744" t="s">
        <v>8</v>
      </c>
      <c r="C32" s="1746" t="s">
        <v>8</v>
      </c>
      <c r="D32" s="1748" t="s">
        <v>51</v>
      </c>
      <c r="E32" s="1750">
        <f>SUM($E$30:$E$31)</f>
        <v>10891.91</v>
      </c>
      <c r="F32" s="1746" t="s">
        <v>8</v>
      </c>
      <c r="G32" s="1752" t="s">
        <v>8</v>
      </c>
      <c r="H32" s="1732" t="s">
        <v>8</v>
      </c>
      <c r="I32" s="157" t="s">
        <v>8</v>
      </c>
    </row>
    <row r="33" spans="1:9" ht="15.75" thickTop="1">
      <c r="A33" s="157" t="s">
        <v>8</v>
      </c>
      <c r="B33" s="1734" t="s">
        <v>8</v>
      </c>
      <c r="C33" s="157" t="s">
        <v>8</v>
      </c>
      <c r="D33" s="157" t="s">
        <v>8</v>
      </c>
      <c r="E33" s="158" t="s">
        <v>8</v>
      </c>
      <c r="F33" s="157" t="s">
        <v>8</v>
      </c>
      <c r="G33" s="1733" t="s">
        <v>8</v>
      </c>
      <c r="H33" s="157" t="s">
        <v>8</v>
      </c>
      <c r="I33" s="157" t="s">
        <v>8</v>
      </c>
    </row>
    <row r="34" spans="1:9" ht="15.75" thickBot="1">
      <c r="A34" s="157" t="s">
        <v>8</v>
      </c>
      <c r="B34" s="1734" t="s">
        <v>8</v>
      </c>
      <c r="C34" s="157" t="s">
        <v>8</v>
      </c>
      <c r="D34" s="157" t="s">
        <v>8</v>
      </c>
      <c r="E34" s="158" t="s">
        <v>8</v>
      </c>
      <c r="F34" s="157" t="s">
        <v>8</v>
      </c>
      <c r="G34" s="1733" t="s">
        <v>8</v>
      </c>
      <c r="H34" s="157" t="s">
        <v>8</v>
      </c>
      <c r="I34" s="157" t="s">
        <v>8</v>
      </c>
    </row>
    <row r="35" spans="1:9" ht="15.75" thickTop="1">
      <c r="A35" s="157" t="s">
        <v>8</v>
      </c>
      <c r="B35" s="1756" t="s">
        <v>8</v>
      </c>
      <c r="C35" s="1742" t="s">
        <v>8</v>
      </c>
      <c r="D35" s="1747" t="s">
        <v>1087</v>
      </c>
      <c r="E35" s="1757" t="s">
        <v>8</v>
      </c>
      <c r="F35" s="1742" t="s">
        <v>8</v>
      </c>
      <c r="G35" s="1758" t="s">
        <v>8</v>
      </c>
      <c r="H35" s="1729" t="s">
        <v>8</v>
      </c>
      <c r="I35" s="157" t="s">
        <v>8</v>
      </c>
    </row>
    <row r="36" spans="1:9">
      <c r="A36" s="157" t="s">
        <v>8</v>
      </c>
      <c r="B36" s="1743" t="s">
        <v>8</v>
      </c>
      <c r="C36" s="1745" t="s">
        <v>8</v>
      </c>
      <c r="D36" s="1745" t="s">
        <v>8</v>
      </c>
      <c r="E36" s="1749" t="s">
        <v>8</v>
      </c>
      <c r="F36" s="1745" t="s">
        <v>8</v>
      </c>
      <c r="G36" s="1751" t="s">
        <v>8</v>
      </c>
      <c r="H36" s="1737" t="s">
        <v>8</v>
      </c>
      <c r="I36" s="157" t="s">
        <v>8</v>
      </c>
    </row>
    <row r="37" spans="1:9">
      <c r="A37" s="157" t="s">
        <v>8</v>
      </c>
      <c r="B37" s="1743" t="s">
        <v>8</v>
      </c>
      <c r="C37" s="1745" t="s">
        <v>8</v>
      </c>
      <c r="D37" s="1745" t="s">
        <v>8</v>
      </c>
      <c r="E37" s="1749" t="s">
        <v>8</v>
      </c>
      <c r="F37" s="1745" t="s">
        <v>8</v>
      </c>
      <c r="G37" s="1751" t="s">
        <v>8</v>
      </c>
      <c r="H37" s="1737" t="s">
        <v>8</v>
      </c>
      <c r="I37" s="157" t="s">
        <v>8</v>
      </c>
    </row>
    <row r="38" spans="1:9" ht="15.75" thickBot="1">
      <c r="A38" s="157" t="s">
        <v>8</v>
      </c>
      <c r="B38" s="1744" t="s">
        <v>8</v>
      </c>
      <c r="C38" s="1746" t="s">
        <v>8</v>
      </c>
      <c r="D38" s="1748" t="s">
        <v>51</v>
      </c>
      <c r="E38" s="1750">
        <f>SUM($E$36:$E$37)</f>
        <v>0</v>
      </c>
      <c r="F38" s="1746" t="s">
        <v>8</v>
      </c>
      <c r="G38" s="1752" t="s">
        <v>8</v>
      </c>
      <c r="H38" s="1732" t="s">
        <v>8</v>
      </c>
      <c r="I38" s="157" t="s">
        <v>8</v>
      </c>
    </row>
    <row r="39" spans="1:9" ht="16.5" thickTop="1" thickBot="1">
      <c r="A39" s="157" t="s">
        <v>8</v>
      </c>
      <c r="B39" s="1734" t="s">
        <v>8</v>
      </c>
      <c r="C39" s="157" t="s">
        <v>8</v>
      </c>
      <c r="D39" s="157" t="s">
        <v>8</v>
      </c>
      <c r="E39" s="158" t="s">
        <v>8</v>
      </c>
      <c r="F39" s="157" t="s">
        <v>8</v>
      </c>
      <c r="G39" s="1733" t="s">
        <v>8</v>
      </c>
      <c r="H39" s="157" t="s">
        <v>8</v>
      </c>
      <c r="I39" s="157" t="s">
        <v>8</v>
      </c>
    </row>
    <row r="40" spans="1:9" ht="15.75" thickTop="1">
      <c r="A40" s="157" t="s">
        <v>8</v>
      </c>
      <c r="B40" s="1753" t="s">
        <v>8</v>
      </c>
      <c r="C40" s="1728" t="s">
        <v>8</v>
      </c>
      <c r="D40" s="1728" t="s">
        <v>8</v>
      </c>
      <c r="E40" s="1754" t="s">
        <v>8</v>
      </c>
      <c r="F40" s="1728" t="s">
        <v>8</v>
      </c>
      <c r="G40" s="1755" t="s">
        <v>8</v>
      </c>
      <c r="H40" s="1729" t="s">
        <v>8</v>
      </c>
      <c r="I40" s="157" t="s">
        <v>8</v>
      </c>
    </row>
    <row r="41" spans="1:9">
      <c r="A41" s="157" t="s">
        <v>8</v>
      </c>
      <c r="B41" s="1736" t="s">
        <v>8</v>
      </c>
      <c r="C41" s="2167" t="s">
        <v>8</v>
      </c>
      <c r="D41" s="2169" t="s">
        <v>114</v>
      </c>
      <c r="E41" s="2168">
        <f>ABS(E13+$E$20-$E$38+$E$26-$E$32)</f>
        <v>2835271.3899999997</v>
      </c>
      <c r="F41" s="2167" t="s">
        <v>8</v>
      </c>
      <c r="G41" s="2171" t="s">
        <v>8</v>
      </c>
      <c r="H41" s="1737" t="s">
        <v>8</v>
      </c>
      <c r="I41" s="157" t="s">
        <v>8</v>
      </c>
    </row>
    <row r="42" spans="1:9">
      <c r="A42" s="157" t="s">
        <v>8</v>
      </c>
      <c r="B42" s="1736" t="s">
        <v>8</v>
      </c>
      <c r="C42" s="2167" t="s">
        <v>8</v>
      </c>
      <c r="D42" s="2169" t="s">
        <v>115</v>
      </c>
      <c r="E42" s="2168">
        <v>2835271.39</v>
      </c>
      <c r="F42" s="2167" t="s">
        <v>8</v>
      </c>
      <c r="G42" s="2171" t="s">
        <v>8</v>
      </c>
      <c r="H42" s="1737" t="s">
        <v>8</v>
      </c>
      <c r="I42" s="157" t="s">
        <v>116</v>
      </c>
    </row>
    <row r="43" spans="1:9" ht="15.75" thickBot="1">
      <c r="A43" s="157" t="s">
        <v>8</v>
      </c>
      <c r="B43" s="1738" t="s">
        <v>8</v>
      </c>
      <c r="C43" s="1731" t="s">
        <v>8</v>
      </c>
      <c r="D43" s="1739" t="s">
        <v>117</v>
      </c>
      <c r="E43" s="1740">
        <f>$E$42-$E$41</f>
        <v>0</v>
      </c>
      <c r="F43" s="1731" t="s">
        <v>8</v>
      </c>
      <c r="G43" s="1741" t="s">
        <v>8</v>
      </c>
      <c r="H43" s="1732" t="s">
        <v>8</v>
      </c>
      <c r="I43" s="157" t="s">
        <v>8</v>
      </c>
    </row>
    <row r="44" spans="1:9" ht="16.5" thickTop="1" thickBot="1">
      <c r="A44" s="157" t="s">
        <v>8</v>
      </c>
      <c r="B44" s="1734" t="s">
        <v>8</v>
      </c>
      <c r="C44" s="157" t="s">
        <v>8</v>
      </c>
      <c r="D44" s="157" t="s">
        <v>8</v>
      </c>
      <c r="E44" s="158" t="s">
        <v>8</v>
      </c>
      <c r="F44" s="157" t="s">
        <v>8</v>
      </c>
      <c r="G44" s="1733" t="s">
        <v>8</v>
      </c>
      <c r="H44" s="157" t="s">
        <v>8</v>
      </c>
      <c r="I44" s="157" t="s">
        <v>8</v>
      </c>
    </row>
    <row r="45" spans="1:9" ht="15.75" thickTop="1">
      <c r="A45" s="157" t="s">
        <v>8</v>
      </c>
      <c r="B45" s="1753" t="s">
        <v>8</v>
      </c>
      <c r="C45" s="1728" t="s">
        <v>8</v>
      </c>
      <c r="D45" s="1735" t="s">
        <v>118</v>
      </c>
      <c r="E45" s="1759" t="s">
        <v>119</v>
      </c>
      <c r="F45" s="1735" t="s">
        <v>120</v>
      </c>
      <c r="G45" s="1755">
        <v>45981</v>
      </c>
      <c r="H45" s="1729" t="s">
        <v>8</v>
      </c>
      <c r="I45" s="157" t="s">
        <v>8</v>
      </c>
    </row>
    <row r="46" spans="1:9">
      <c r="A46" s="157" t="s">
        <v>8</v>
      </c>
      <c r="B46" s="1736" t="s">
        <v>8</v>
      </c>
      <c r="C46" s="2167" t="s">
        <v>8</v>
      </c>
      <c r="D46" s="2167" t="s">
        <v>8</v>
      </c>
      <c r="E46" s="2170" t="s">
        <v>8</v>
      </c>
      <c r="F46" s="2167" t="s">
        <v>8</v>
      </c>
      <c r="G46" s="2171" t="s">
        <v>8</v>
      </c>
      <c r="H46" s="1737" t="s">
        <v>8</v>
      </c>
      <c r="I46" s="157" t="s">
        <v>8</v>
      </c>
    </row>
    <row r="47" spans="1:9">
      <c r="A47" s="157" t="s">
        <v>8</v>
      </c>
      <c r="B47" s="1736" t="s">
        <v>8</v>
      </c>
      <c r="C47" s="2167" t="s">
        <v>8</v>
      </c>
      <c r="D47" s="2167" t="s">
        <v>8</v>
      </c>
      <c r="E47" s="2170" t="s">
        <v>8</v>
      </c>
      <c r="F47" s="2167" t="s">
        <v>8</v>
      </c>
      <c r="G47" s="2171" t="s">
        <v>8</v>
      </c>
      <c r="H47" s="1737" t="s">
        <v>8</v>
      </c>
      <c r="I47" s="157" t="s">
        <v>8</v>
      </c>
    </row>
    <row r="48" spans="1:9">
      <c r="A48" s="157" t="s">
        <v>8</v>
      </c>
      <c r="B48" s="1736" t="s">
        <v>8</v>
      </c>
      <c r="C48" s="2167" t="s">
        <v>8</v>
      </c>
      <c r="D48" s="2169" t="s">
        <v>121</v>
      </c>
      <c r="E48" s="2168" t="s">
        <v>8</v>
      </c>
      <c r="F48" s="2169" t="s">
        <v>120</v>
      </c>
      <c r="G48" s="2171" t="s">
        <v>8</v>
      </c>
      <c r="H48" s="1737" t="s">
        <v>8</v>
      </c>
      <c r="I48" s="157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0" bestFit="1" customWidth="1"/>
    <col min="4" max="4" width="64.28515625" bestFit="1" customWidth="1"/>
    <col min="5" max="5" width="24.5703125" bestFit="1" customWidth="1"/>
    <col min="6" max="6" width="39.570312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196</v>
      </c>
    </row>
    <row r="2" spans="1:9">
      <c r="A2" s="160" t="s">
        <v>8</v>
      </c>
      <c r="B2" s="160" t="s">
        <v>8</v>
      </c>
      <c r="C2" s="160" t="s">
        <v>8</v>
      </c>
      <c r="D2" s="160" t="s">
        <v>8</v>
      </c>
      <c r="E2" s="160" t="s">
        <v>8</v>
      </c>
      <c r="F2" s="160" t="s">
        <v>8</v>
      </c>
      <c r="G2" s="160" t="s">
        <v>8</v>
      </c>
      <c r="H2" s="160" t="s">
        <v>8</v>
      </c>
      <c r="I2" s="160" t="s">
        <v>8</v>
      </c>
    </row>
    <row r="3" spans="1:9" ht="15.75" thickBot="1">
      <c r="A3" s="160" t="s">
        <v>8</v>
      </c>
      <c r="B3" s="160" t="s">
        <v>8</v>
      </c>
      <c r="C3" s="160" t="s">
        <v>8</v>
      </c>
      <c r="D3" s="160" t="s">
        <v>8</v>
      </c>
      <c r="E3" s="160" t="s">
        <v>8</v>
      </c>
      <c r="F3" s="160" t="s">
        <v>8</v>
      </c>
      <c r="G3" s="160" t="s">
        <v>8</v>
      </c>
      <c r="H3" s="160" t="s">
        <v>8</v>
      </c>
      <c r="I3" s="160" t="s">
        <v>8</v>
      </c>
    </row>
    <row r="4" spans="1:9" ht="16.5" thickTop="1" thickBot="1">
      <c r="A4" s="160" t="s">
        <v>8</v>
      </c>
      <c r="B4" s="160" t="s">
        <v>14</v>
      </c>
      <c r="C4" s="160" t="s">
        <v>8</v>
      </c>
      <c r="D4" s="1761" t="s">
        <v>15</v>
      </c>
      <c r="E4" s="160" t="s">
        <v>16</v>
      </c>
      <c r="F4" s="1761" t="s">
        <v>1088</v>
      </c>
      <c r="G4" s="160" t="s">
        <v>8</v>
      </c>
      <c r="H4" s="160" t="s">
        <v>8</v>
      </c>
      <c r="I4" s="160" t="s">
        <v>8</v>
      </c>
    </row>
    <row r="5" spans="1:9" ht="16.5" thickTop="1" thickBot="1">
      <c r="A5" s="160" t="s">
        <v>8</v>
      </c>
      <c r="B5" s="160" t="s">
        <v>8</v>
      </c>
      <c r="C5" s="160" t="s">
        <v>8</v>
      </c>
      <c r="D5" s="160" t="s">
        <v>8</v>
      </c>
      <c r="E5" s="160" t="s">
        <v>8</v>
      </c>
      <c r="F5" s="160" t="s">
        <v>8</v>
      </c>
      <c r="G5" s="160" t="s">
        <v>8</v>
      </c>
      <c r="H5" s="160" t="s">
        <v>8</v>
      </c>
      <c r="I5" s="160" t="s">
        <v>8</v>
      </c>
    </row>
    <row r="6" spans="1:9" ht="16.5" thickTop="1" thickBot="1">
      <c r="A6" s="160" t="s">
        <v>8</v>
      </c>
      <c r="B6" s="160" t="s">
        <v>18</v>
      </c>
      <c r="C6" s="160" t="s">
        <v>8</v>
      </c>
      <c r="D6" s="1761" t="s">
        <v>19</v>
      </c>
      <c r="E6" s="160" t="s">
        <v>20</v>
      </c>
      <c r="F6" s="1761" t="s">
        <v>1089</v>
      </c>
      <c r="G6" s="160" t="s">
        <v>8</v>
      </c>
      <c r="H6" s="160" t="s">
        <v>8</v>
      </c>
      <c r="I6" s="160" t="s">
        <v>8</v>
      </c>
    </row>
    <row r="7" spans="1:9" ht="16.5" thickTop="1" thickBot="1">
      <c r="A7" s="160" t="s">
        <v>8</v>
      </c>
      <c r="B7" s="160" t="s">
        <v>8</v>
      </c>
      <c r="C7" s="160" t="s">
        <v>8</v>
      </c>
      <c r="D7" s="160" t="s">
        <v>8</v>
      </c>
      <c r="E7" s="160" t="s">
        <v>8</v>
      </c>
      <c r="F7" s="160" t="s">
        <v>8</v>
      </c>
      <c r="G7" s="160" t="s">
        <v>8</v>
      </c>
      <c r="H7" s="160" t="s">
        <v>8</v>
      </c>
      <c r="I7" s="160" t="s">
        <v>8</v>
      </c>
    </row>
    <row r="8" spans="1:9" ht="16.5" thickTop="1" thickBot="1">
      <c r="A8" s="160" t="s">
        <v>8</v>
      </c>
      <c r="B8" s="160" t="s">
        <v>22</v>
      </c>
      <c r="C8" s="160" t="s">
        <v>8</v>
      </c>
      <c r="D8" s="1761" t="s">
        <v>11</v>
      </c>
      <c r="E8" s="160" t="s">
        <v>23</v>
      </c>
      <c r="F8" s="1761" t="s">
        <v>1090</v>
      </c>
      <c r="G8" s="160" t="s">
        <v>8</v>
      </c>
      <c r="H8" s="160" t="s">
        <v>8</v>
      </c>
      <c r="I8" s="160" t="s">
        <v>8</v>
      </c>
    </row>
    <row r="9" spans="1:9" ht="16.5" thickTop="1" thickBot="1">
      <c r="A9" s="160" t="s">
        <v>8</v>
      </c>
      <c r="B9" s="160" t="s">
        <v>8</v>
      </c>
      <c r="C9" s="160" t="s">
        <v>8</v>
      </c>
      <c r="D9" s="160" t="s">
        <v>8</v>
      </c>
      <c r="E9" s="160" t="s">
        <v>8</v>
      </c>
      <c r="F9" s="160" t="s">
        <v>8</v>
      </c>
      <c r="G9" s="160" t="s">
        <v>8</v>
      </c>
      <c r="H9" s="160" t="s">
        <v>8</v>
      </c>
      <c r="I9" s="160" t="s">
        <v>8</v>
      </c>
    </row>
    <row r="10" spans="1:9" ht="16.5" thickTop="1" thickBot="1">
      <c r="A10" s="160" t="s">
        <v>8</v>
      </c>
      <c r="B10" s="160" t="s">
        <v>25</v>
      </c>
      <c r="C10" s="160" t="s">
        <v>8</v>
      </c>
      <c r="D10" s="1761" t="s">
        <v>26</v>
      </c>
      <c r="E10" s="160" t="s">
        <v>8</v>
      </c>
      <c r="F10" s="160" t="s">
        <v>8</v>
      </c>
      <c r="G10" s="160" t="s">
        <v>8</v>
      </c>
      <c r="H10" s="160" t="s">
        <v>8</v>
      </c>
      <c r="I10" s="160" t="s">
        <v>8</v>
      </c>
    </row>
    <row r="11" spans="1:9" ht="16.5" thickTop="1" thickBot="1">
      <c r="A11" s="160" t="s">
        <v>8</v>
      </c>
      <c r="B11" s="160" t="s">
        <v>8</v>
      </c>
      <c r="C11" s="160" t="s">
        <v>8</v>
      </c>
      <c r="D11" s="160" t="s">
        <v>8</v>
      </c>
      <c r="E11" s="160" t="s">
        <v>8</v>
      </c>
      <c r="F11" s="160" t="s">
        <v>8</v>
      </c>
      <c r="G11" s="160" t="s">
        <v>8</v>
      </c>
      <c r="H11" s="160" t="s">
        <v>8</v>
      </c>
      <c r="I11" s="160" t="s">
        <v>8</v>
      </c>
    </row>
    <row r="12" spans="1:9" ht="16.5" thickTop="1" thickBot="1">
      <c r="A12" s="160" t="s">
        <v>8</v>
      </c>
      <c r="B12" s="1762" t="s">
        <v>8</v>
      </c>
      <c r="C12" s="1763" t="s">
        <v>8</v>
      </c>
      <c r="D12" s="1763" t="s">
        <v>8</v>
      </c>
      <c r="E12" s="1763" t="s">
        <v>8</v>
      </c>
      <c r="F12" s="1763" t="s">
        <v>8</v>
      </c>
      <c r="G12" s="1763" t="s">
        <v>8</v>
      </c>
      <c r="H12" s="1764" t="s">
        <v>8</v>
      </c>
      <c r="I12" s="160" t="s">
        <v>8</v>
      </c>
    </row>
    <row r="13" spans="1:9" ht="16.5" thickTop="1" thickBot="1">
      <c r="A13" s="160" t="s">
        <v>8</v>
      </c>
      <c r="B13" s="1765" t="s">
        <v>8</v>
      </c>
      <c r="C13" s="1760" t="s">
        <v>11</v>
      </c>
      <c r="D13" s="1766" t="s">
        <v>28</v>
      </c>
      <c r="E13" s="1775">
        <v>462963.52</v>
      </c>
      <c r="F13" s="1766" t="s">
        <v>8</v>
      </c>
      <c r="G13" s="1766" t="s">
        <v>8</v>
      </c>
      <c r="H13" s="1767" t="s">
        <v>8</v>
      </c>
      <c r="I13" s="160" t="s">
        <v>29</v>
      </c>
    </row>
    <row r="14" spans="1:9" ht="16.5" thickTop="1" thickBot="1">
      <c r="A14" s="160" t="s">
        <v>8</v>
      </c>
      <c r="B14" s="160" t="s">
        <v>8</v>
      </c>
      <c r="C14" s="160" t="s">
        <v>8</v>
      </c>
      <c r="D14" s="160" t="s">
        <v>8</v>
      </c>
      <c r="E14" s="160" t="s">
        <v>8</v>
      </c>
      <c r="F14" s="160" t="s">
        <v>8</v>
      </c>
      <c r="G14" s="160" t="s">
        <v>8</v>
      </c>
      <c r="H14" s="160" t="s">
        <v>8</v>
      </c>
      <c r="I14" s="160" t="s">
        <v>8</v>
      </c>
    </row>
    <row r="15" spans="1:9" ht="16.5" thickTop="1" thickBot="1">
      <c r="A15" s="160" t="s">
        <v>8</v>
      </c>
      <c r="B15" s="1761" t="s">
        <v>30</v>
      </c>
      <c r="C15" s="1760" t="s">
        <v>31</v>
      </c>
      <c r="D15" s="1760" t="s">
        <v>32</v>
      </c>
      <c r="E15" s="1760" t="s">
        <v>33</v>
      </c>
      <c r="F15" s="1760" t="s">
        <v>34</v>
      </c>
      <c r="G15" s="1760" t="s">
        <v>35</v>
      </c>
      <c r="H15" s="1760" t="s">
        <v>36</v>
      </c>
      <c r="I15" s="160" t="s">
        <v>8</v>
      </c>
    </row>
    <row r="16" spans="1:9" ht="16.5" thickTop="1" thickBot="1">
      <c r="A16" s="160" t="s">
        <v>8</v>
      </c>
      <c r="B16" s="160" t="s">
        <v>8</v>
      </c>
      <c r="C16" s="160" t="s">
        <v>8</v>
      </c>
      <c r="D16" s="160" t="s">
        <v>8</v>
      </c>
      <c r="E16" s="160" t="s">
        <v>8</v>
      </c>
      <c r="F16" s="160" t="s">
        <v>8</v>
      </c>
      <c r="G16" s="160" t="s">
        <v>8</v>
      </c>
      <c r="H16" s="160" t="s">
        <v>8</v>
      </c>
      <c r="I16" s="160" t="s">
        <v>8</v>
      </c>
    </row>
    <row r="17" spans="1:9" ht="15.75" thickTop="1">
      <c r="A17" s="160" t="s">
        <v>8</v>
      </c>
      <c r="B17" s="1777" t="s">
        <v>8</v>
      </c>
      <c r="C17" s="1777" t="s">
        <v>8</v>
      </c>
      <c r="D17" s="1782" t="s">
        <v>1083</v>
      </c>
      <c r="E17" s="1777" t="s">
        <v>8</v>
      </c>
      <c r="F17" s="1777" t="s">
        <v>8</v>
      </c>
      <c r="G17" s="1777" t="s">
        <v>8</v>
      </c>
      <c r="H17" s="1764" t="s">
        <v>8</v>
      </c>
      <c r="I17" s="160" t="s">
        <v>8</v>
      </c>
    </row>
    <row r="18" spans="1:9">
      <c r="A18" s="160" t="s">
        <v>8</v>
      </c>
      <c r="B18" s="1778" t="s">
        <v>8</v>
      </c>
      <c r="C18" s="1780" t="s">
        <v>8</v>
      </c>
      <c r="D18" s="1780" t="s">
        <v>8</v>
      </c>
      <c r="E18" s="1784" t="s">
        <v>8</v>
      </c>
      <c r="F18" s="1780" t="s">
        <v>8</v>
      </c>
      <c r="G18" s="1786" t="s">
        <v>8</v>
      </c>
      <c r="H18" s="1772" t="s">
        <v>8</v>
      </c>
      <c r="I18" s="160" t="s">
        <v>8</v>
      </c>
    </row>
    <row r="19" spans="1:9">
      <c r="A19" s="160" t="s">
        <v>8</v>
      </c>
      <c r="B19" s="1778" t="s">
        <v>8</v>
      </c>
      <c r="C19" s="1780" t="s">
        <v>8</v>
      </c>
      <c r="D19" s="1780" t="s">
        <v>8</v>
      </c>
      <c r="E19" s="1784" t="s">
        <v>8</v>
      </c>
      <c r="F19" s="1780" t="s">
        <v>8</v>
      </c>
      <c r="G19" s="1786" t="s">
        <v>8</v>
      </c>
      <c r="H19" s="1772" t="s">
        <v>8</v>
      </c>
      <c r="I19" s="160" t="s">
        <v>8</v>
      </c>
    </row>
    <row r="20" spans="1:9" ht="15.75" thickBot="1">
      <c r="A20" s="160" t="s">
        <v>8</v>
      </c>
      <c r="B20" s="1779" t="s">
        <v>8</v>
      </c>
      <c r="C20" s="1781" t="s">
        <v>8</v>
      </c>
      <c r="D20" s="1783" t="s">
        <v>51</v>
      </c>
      <c r="E20" s="1785">
        <f>SUM($E$18:$E$19)</f>
        <v>0</v>
      </c>
      <c r="F20" s="1781" t="s">
        <v>8</v>
      </c>
      <c r="G20" s="1787" t="s">
        <v>8</v>
      </c>
      <c r="H20" s="1767" t="s">
        <v>8</v>
      </c>
      <c r="I20" s="160" t="s">
        <v>8</v>
      </c>
    </row>
    <row r="21" spans="1:9" ht="15.75" thickTop="1">
      <c r="A21" s="160" t="s">
        <v>8</v>
      </c>
      <c r="B21" s="1769" t="s">
        <v>8</v>
      </c>
      <c r="C21" s="160" t="s">
        <v>8</v>
      </c>
      <c r="D21" s="160" t="s">
        <v>8</v>
      </c>
      <c r="E21" s="161" t="s">
        <v>8</v>
      </c>
      <c r="F21" s="160" t="s">
        <v>8</v>
      </c>
      <c r="G21" s="1768" t="s">
        <v>8</v>
      </c>
      <c r="H21" s="160" t="s">
        <v>8</v>
      </c>
      <c r="I21" s="160" t="s">
        <v>8</v>
      </c>
    </row>
    <row r="22" spans="1:9" ht="15.75" thickBot="1">
      <c r="A22" s="160" t="s">
        <v>8</v>
      </c>
      <c r="B22" s="1769" t="s">
        <v>8</v>
      </c>
      <c r="C22" s="160" t="s">
        <v>8</v>
      </c>
      <c r="D22" s="160" t="s">
        <v>8</v>
      </c>
      <c r="E22" s="161" t="s">
        <v>8</v>
      </c>
      <c r="F22" s="160" t="s">
        <v>8</v>
      </c>
      <c r="G22" s="1768" t="s">
        <v>8</v>
      </c>
      <c r="H22" s="160" t="s">
        <v>8</v>
      </c>
      <c r="I22" s="160" t="s">
        <v>8</v>
      </c>
    </row>
    <row r="23" spans="1:9" ht="15.75" thickTop="1">
      <c r="A23" s="160" t="s">
        <v>8</v>
      </c>
      <c r="B23" s="1791" t="s">
        <v>8</v>
      </c>
      <c r="C23" s="1777" t="s">
        <v>8</v>
      </c>
      <c r="D23" s="1782" t="s">
        <v>1084</v>
      </c>
      <c r="E23" s="1792" t="s">
        <v>8</v>
      </c>
      <c r="F23" s="1777" t="s">
        <v>8</v>
      </c>
      <c r="G23" s="1793" t="s">
        <v>8</v>
      </c>
      <c r="H23" s="1764" t="s">
        <v>8</v>
      </c>
      <c r="I23" s="160" t="s">
        <v>8</v>
      </c>
    </row>
    <row r="24" spans="1:9">
      <c r="A24" s="160" t="s">
        <v>8</v>
      </c>
      <c r="B24" s="1778" t="s">
        <v>8</v>
      </c>
      <c r="C24" s="1780" t="s">
        <v>8</v>
      </c>
      <c r="D24" s="1780" t="s">
        <v>8</v>
      </c>
      <c r="E24" s="1784" t="s">
        <v>8</v>
      </c>
      <c r="F24" s="1780" t="s">
        <v>8</v>
      </c>
      <c r="G24" s="1786" t="s">
        <v>8</v>
      </c>
      <c r="H24" s="1772" t="s">
        <v>8</v>
      </c>
      <c r="I24" s="160" t="s">
        <v>8</v>
      </c>
    </row>
    <row r="25" spans="1:9">
      <c r="A25" s="160" t="s">
        <v>8</v>
      </c>
      <c r="B25" s="1778" t="s">
        <v>8</v>
      </c>
      <c r="C25" s="1780" t="s">
        <v>8</v>
      </c>
      <c r="D25" s="1780" t="s">
        <v>8</v>
      </c>
      <c r="E25" s="1784" t="s">
        <v>8</v>
      </c>
      <c r="F25" s="1780" t="s">
        <v>8</v>
      </c>
      <c r="G25" s="1786" t="s">
        <v>8</v>
      </c>
      <c r="H25" s="1772" t="s">
        <v>8</v>
      </c>
      <c r="I25" s="160" t="s">
        <v>8</v>
      </c>
    </row>
    <row r="26" spans="1:9" ht="15.75" thickBot="1">
      <c r="A26" s="160" t="s">
        <v>8</v>
      </c>
      <c r="B26" s="1779" t="s">
        <v>8</v>
      </c>
      <c r="C26" s="1781" t="s">
        <v>8</v>
      </c>
      <c r="D26" s="1783" t="s">
        <v>51</v>
      </c>
      <c r="E26" s="1785">
        <f>SUM($E$24:$E$25)</f>
        <v>0</v>
      </c>
      <c r="F26" s="1781" t="s">
        <v>8</v>
      </c>
      <c r="G26" s="1787" t="s">
        <v>8</v>
      </c>
      <c r="H26" s="1767" t="s">
        <v>8</v>
      </c>
      <c r="I26" s="160" t="s">
        <v>8</v>
      </c>
    </row>
    <row r="27" spans="1:9" ht="15.75" thickTop="1">
      <c r="A27" s="160" t="s">
        <v>8</v>
      </c>
      <c r="B27" s="1769" t="s">
        <v>8</v>
      </c>
      <c r="C27" s="160" t="s">
        <v>8</v>
      </c>
      <c r="D27" s="160" t="s">
        <v>8</v>
      </c>
      <c r="E27" s="161" t="s">
        <v>8</v>
      </c>
      <c r="F27" s="160" t="s">
        <v>8</v>
      </c>
      <c r="G27" s="1768" t="s">
        <v>8</v>
      </c>
      <c r="H27" s="160" t="s">
        <v>8</v>
      </c>
      <c r="I27" s="160" t="s">
        <v>8</v>
      </c>
    </row>
    <row r="28" spans="1:9" ht="15.75" thickBot="1">
      <c r="A28" s="160" t="s">
        <v>8</v>
      </c>
      <c r="B28" s="1769" t="s">
        <v>8</v>
      </c>
      <c r="C28" s="160" t="s">
        <v>8</v>
      </c>
      <c r="D28" s="160" t="s">
        <v>8</v>
      </c>
      <c r="E28" s="161" t="s">
        <v>8</v>
      </c>
      <c r="F28" s="160" t="s">
        <v>8</v>
      </c>
      <c r="G28" s="1768" t="s">
        <v>8</v>
      </c>
      <c r="H28" s="160" t="s">
        <v>8</v>
      </c>
      <c r="I28" s="160" t="s">
        <v>8</v>
      </c>
    </row>
    <row r="29" spans="1:9" ht="15.75" thickTop="1">
      <c r="A29" s="160" t="s">
        <v>8</v>
      </c>
      <c r="B29" s="1791" t="s">
        <v>8</v>
      </c>
      <c r="C29" s="1777" t="s">
        <v>8</v>
      </c>
      <c r="D29" s="1782" t="s">
        <v>1085</v>
      </c>
      <c r="E29" s="1792" t="s">
        <v>8</v>
      </c>
      <c r="F29" s="1777" t="s">
        <v>8</v>
      </c>
      <c r="G29" s="1793" t="s">
        <v>8</v>
      </c>
      <c r="H29" s="1764" t="s">
        <v>8</v>
      </c>
      <c r="I29" s="160" t="s">
        <v>8</v>
      </c>
    </row>
    <row r="30" spans="1:9">
      <c r="A30" s="160" t="s">
        <v>8</v>
      </c>
      <c r="B30" s="1778" t="s">
        <v>8</v>
      </c>
      <c r="C30" s="1780" t="s">
        <v>8</v>
      </c>
      <c r="D30" s="1780" t="s">
        <v>8</v>
      </c>
      <c r="E30" s="1784" t="s">
        <v>8</v>
      </c>
      <c r="F30" s="1780" t="s">
        <v>8</v>
      </c>
      <c r="G30" s="1786" t="s">
        <v>8</v>
      </c>
      <c r="H30" s="1772" t="s">
        <v>8</v>
      </c>
      <c r="I30" s="160" t="s">
        <v>8</v>
      </c>
    </row>
    <row r="31" spans="1:9">
      <c r="A31" s="160" t="s">
        <v>8</v>
      </c>
      <c r="B31" s="1778" t="s">
        <v>8</v>
      </c>
      <c r="C31" s="1780" t="s">
        <v>8</v>
      </c>
      <c r="D31" s="1780" t="s">
        <v>8</v>
      </c>
      <c r="E31" s="1784" t="s">
        <v>8</v>
      </c>
      <c r="F31" s="1780" t="s">
        <v>8</v>
      </c>
      <c r="G31" s="1786" t="s">
        <v>8</v>
      </c>
      <c r="H31" s="1772" t="s">
        <v>8</v>
      </c>
      <c r="I31" s="160" t="s">
        <v>8</v>
      </c>
    </row>
    <row r="32" spans="1:9" ht="15.75" thickBot="1">
      <c r="A32" s="160" t="s">
        <v>8</v>
      </c>
      <c r="B32" s="1779" t="s">
        <v>8</v>
      </c>
      <c r="C32" s="1781" t="s">
        <v>8</v>
      </c>
      <c r="D32" s="1783" t="s">
        <v>51</v>
      </c>
      <c r="E32" s="1785">
        <f>SUM($E$30:$E$31)</f>
        <v>0</v>
      </c>
      <c r="F32" s="1781" t="s">
        <v>8</v>
      </c>
      <c r="G32" s="1787" t="s">
        <v>8</v>
      </c>
      <c r="H32" s="1767" t="s">
        <v>8</v>
      </c>
      <c r="I32" s="160" t="s">
        <v>8</v>
      </c>
    </row>
    <row r="33" spans="1:9" ht="15.75" thickTop="1">
      <c r="A33" s="160" t="s">
        <v>8</v>
      </c>
      <c r="B33" s="1769" t="s">
        <v>8</v>
      </c>
      <c r="C33" s="160" t="s">
        <v>8</v>
      </c>
      <c r="D33" s="160" t="s">
        <v>8</v>
      </c>
      <c r="E33" s="161" t="s">
        <v>8</v>
      </c>
      <c r="F33" s="160" t="s">
        <v>8</v>
      </c>
      <c r="G33" s="1768" t="s">
        <v>8</v>
      </c>
      <c r="H33" s="160" t="s">
        <v>8</v>
      </c>
      <c r="I33" s="160" t="s">
        <v>8</v>
      </c>
    </row>
    <row r="34" spans="1:9" ht="15.75" thickBot="1">
      <c r="A34" s="160" t="s">
        <v>8</v>
      </c>
      <c r="B34" s="1769" t="s">
        <v>8</v>
      </c>
      <c r="C34" s="160" t="s">
        <v>8</v>
      </c>
      <c r="D34" s="160" t="s">
        <v>8</v>
      </c>
      <c r="E34" s="161" t="s">
        <v>8</v>
      </c>
      <c r="F34" s="160" t="s">
        <v>8</v>
      </c>
      <c r="G34" s="1768" t="s">
        <v>8</v>
      </c>
      <c r="H34" s="160" t="s">
        <v>8</v>
      </c>
      <c r="I34" s="160" t="s">
        <v>8</v>
      </c>
    </row>
    <row r="35" spans="1:9" ht="15.75" thickTop="1">
      <c r="A35" s="160" t="s">
        <v>8</v>
      </c>
      <c r="B35" s="1791" t="s">
        <v>8</v>
      </c>
      <c r="C35" s="1777" t="s">
        <v>8</v>
      </c>
      <c r="D35" s="1782" t="s">
        <v>1087</v>
      </c>
      <c r="E35" s="1792" t="s">
        <v>8</v>
      </c>
      <c r="F35" s="1777" t="s">
        <v>8</v>
      </c>
      <c r="G35" s="1793" t="s">
        <v>8</v>
      </c>
      <c r="H35" s="1764" t="s">
        <v>8</v>
      </c>
      <c r="I35" s="160" t="s">
        <v>8</v>
      </c>
    </row>
    <row r="36" spans="1:9">
      <c r="A36" s="160" t="s">
        <v>8</v>
      </c>
      <c r="B36" s="1778" t="s">
        <v>8</v>
      </c>
      <c r="C36" s="1780" t="s">
        <v>8</v>
      </c>
      <c r="D36" s="1780" t="s">
        <v>8</v>
      </c>
      <c r="E36" s="1784" t="s">
        <v>8</v>
      </c>
      <c r="F36" s="1780" t="s">
        <v>8</v>
      </c>
      <c r="G36" s="1786" t="s">
        <v>8</v>
      </c>
      <c r="H36" s="1772" t="s">
        <v>8</v>
      </c>
      <c r="I36" s="160" t="s">
        <v>8</v>
      </c>
    </row>
    <row r="37" spans="1:9">
      <c r="A37" s="160" t="s">
        <v>8</v>
      </c>
      <c r="B37" s="1778" t="s">
        <v>8</v>
      </c>
      <c r="C37" s="1780" t="s">
        <v>8</v>
      </c>
      <c r="D37" s="1780" t="s">
        <v>8</v>
      </c>
      <c r="E37" s="1784" t="s">
        <v>8</v>
      </c>
      <c r="F37" s="1780" t="s">
        <v>8</v>
      </c>
      <c r="G37" s="1786" t="s">
        <v>8</v>
      </c>
      <c r="H37" s="1772" t="s">
        <v>8</v>
      </c>
      <c r="I37" s="160" t="s">
        <v>8</v>
      </c>
    </row>
    <row r="38" spans="1:9" ht="15.75" thickBot="1">
      <c r="A38" s="160" t="s">
        <v>8</v>
      </c>
      <c r="B38" s="1779" t="s">
        <v>8</v>
      </c>
      <c r="C38" s="1781" t="s">
        <v>8</v>
      </c>
      <c r="D38" s="1783" t="s">
        <v>51</v>
      </c>
      <c r="E38" s="1785">
        <f>SUM($E$36:$E$37)</f>
        <v>0</v>
      </c>
      <c r="F38" s="1781" t="s">
        <v>8</v>
      </c>
      <c r="G38" s="1787" t="s">
        <v>8</v>
      </c>
      <c r="H38" s="1767" t="s">
        <v>8</v>
      </c>
      <c r="I38" s="160" t="s">
        <v>8</v>
      </c>
    </row>
    <row r="39" spans="1:9" ht="16.5" thickTop="1" thickBot="1">
      <c r="A39" s="160" t="s">
        <v>8</v>
      </c>
      <c r="B39" s="1769" t="s">
        <v>8</v>
      </c>
      <c r="C39" s="160" t="s">
        <v>8</v>
      </c>
      <c r="D39" s="160" t="s">
        <v>8</v>
      </c>
      <c r="E39" s="161" t="s">
        <v>8</v>
      </c>
      <c r="F39" s="160" t="s">
        <v>8</v>
      </c>
      <c r="G39" s="1768" t="s">
        <v>8</v>
      </c>
      <c r="H39" s="160" t="s">
        <v>8</v>
      </c>
      <c r="I39" s="160" t="s">
        <v>8</v>
      </c>
    </row>
    <row r="40" spans="1:9" ht="15.75" thickTop="1">
      <c r="A40" s="160" t="s">
        <v>8</v>
      </c>
      <c r="B40" s="1788" t="s">
        <v>8</v>
      </c>
      <c r="C40" s="1763" t="s">
        <v>8</v>
      </c>
      <c r="D40" s="1763" t="s">
        <v>8</v>
      </c>
      <c r="E40" s="1789" t="s">
        <v>8</v>
      </c>
      <c r="F40" s="1763" t="s">
        <v>8</v>
      </c>
      <c r="G40" s="1790" t="s">
        <v>8</v>
      </c>
      <c r="H40" s="1764" t="s">
        <v>8</v>
      </c>
      <c r="I40" s="160" t="s">
        <v>8</v>
      </c>
    </row>
    <row r="41" spans="1:9">
      <c r="A41" s="160" t="s">
        <v>8</v>
      </c>
      <c r="B41" s="1771" t="s">
        <v>8</v>
      </c>
      <c r="C41" s="2172" t="s">
        <v>8</v>
      </c>
      <c r="D41" s="2174" t="s">
        <v>114</v>
      </c>
      <c r="E41" s="2173">
        <f>ABS(E13+$E$20-$E$38+$E$26-$E$32)</f>
        <v>462963.52</v>
      </c>
      <c r="F41" s="2172" t="s">
        <v>8</v>
      </c>
      <c r="G41" s="2176" t="s">
        <v>8</v>
      </c>
      <c r="H41" s="1772" t="s">
        <v>8</v>
      </c>
      <c r="I41" s="160" t="s">
        <v>8</v>
      </c>
    </row>
    <row r="42" spans="1:9">
      <c r="A42" s="160" t="s">
        <v>8</v>
      </c>
      <c r="B42" s="1771" t="s">
        <v>8</v>
      </c>
      <c r="C42" s="2172" t="s">
        <v>8</v>
      </c>
      <c r="D42" s="2174" t="s">
        <v>115</v>
      </c>
      <c r="E42" s="2173">
        <v>462963.52</v>
      </c>
      <c r="F42" s="2172" t="s">
        <v>8</v>
      </c>
      <c r="G42" s="2176" t="s">
        <v>8</v>
      </c>
      <c r="H42" s="1772" t="s">
        <v>8</v>
      </c>
      <c r="I42" s="160" t="s">
        <v>29</v>
      </c>
    </row>
    <row r="43" spans="1:9" ht="15.75" thickBot="1">
      <c r="A43" s="160" t="s">
        <v>8</v>
      </c>
      <c r="B43" s="1773" t="s">
        <v>8</v>
      </c>
      <c r="C43" s="1766" t="s">
        <v>8</v>
      </c>
      <c r="D43" s="1774" t="s">
        <v>117</v>
      </c>
      <c r="E43" s="1775">
        <f>$E$42-$E$41</f>
        <v>0</v>
      </c>
      <c r="F43" s="1766" t="s">
        <v>8</v>
      </c>
      <c r="G43" s="1776" t="s">
        <v>8</v>
      </c>
      <c r="H43" s="1767" t="s">
        <v>8</v>
      </c>
      <c r="I43" s="160" t="s">
        <v>8</v>
      </c>
    </row>
    <row r="44" spans="1:9" ht="16.5" thickTop="1" thickBot="1">
      <c r="A44" s="160" t="s">
        <v>8</v>
      </c>
      <c r="B44" s="1769" t="s">
        <v>8</v>
      </c>
      <c r="C44" s="160" t="s">
        <v>8</v>
      </c>
      <c r="D44" s="160" t="s">
        <v>8</v>
      </c>
      <c r="E44" s="161" t="s">
        <v>8</v>
      </c>
      <c r="F44" s="160" t="s">
        <v>8</v>
      </c>
      <c r="G44" s="1768" t="s">
        <v>8</v>
      </c>
      <c r="H44" s="160" t="s">
        <v>8</v>
      </c>
      <c r="I44" s="160" t="s">
        <v>8</v>
      </c>
    </row>
    <row r="45" spans="1:9" ht="15.75" thickTop="1">
      <c r="A45" s="160" t="s">
        <v>8</v>
      </c>
      <c r="B45" s="1788" t="s">
        <v>8</v>
      </c>
      <c r="C45" s="1763" t="s">
        <v>8</v>
      </c>
      <c r="D45" s="1770" t="s">
        <v>118</v>
      </c>
      <c r="E45" s="1794" t="s">
        <v>119</v>
      </c>
      <c r="F45" s="1770" t="s">
        <v>120</v>
      </c>
      <c r="G45" s="1790">
        <v>45981</v>
      </c>
      <c r="H45" s="1764" t="s">
        <v>8</v>
      </c>
      <c r="I45" s="160" t="s">
        <v>8</v>
      </c>
    </row>
    <row r="46" spans="1:9">
      <c r="A46" s="160" t="s">
        <v>8</v>
      </c>
      <c r="B46" s="1771" t="s">
        <v>8</v>
      </c>
      <c r="C46" s="2172" t="s">
        <v>8</v>
      </c>
      <c r="D46" s="2172" t="s">
        <v>8</v>
      </c>
      <c r="E46" s="2175" t="s">
        <v>8</v>
      </c>
      <c r="F46" s="2172" t="s">
        <v>8</v>
      </c>
      <c r="G46" s="2176" t="s">
        <v>8</v>
      </c>
      <c r="H46" s="1772" t="s">
        <v>8</v>
      </c>
      <c r="I46" s="160" t="s">
        <v>8</v>
      </c>
    </row>
    <row r="47" spans="1:9">
      <c r="A47" s="160" t="s">
        <v>8</v>
      </c>
      <c r="B47" s="1771" t="s">
        <v>8</v>
      </c>
      <c r="C47" s="2172" t="s">
        <v>8</v>
      </c>
      <c r="D47" s="2172" t="s">
        <v>8</v>
      </c>
      <c r="E47" s="2175" t="s">
        <v>8</v>
      </c>
      <c r="F47" s="2172" t="s">
        <v>8</v>
      </c>
      <c r="G47" s="2176" t="s">
        <v>8</v>
      </c>
      <c r="H47" s="1772" t="s">
        <v>8</v>
      </c>
      <c r="I47" s="160" t="s">
        <v>8</v>
      </c>
    </row>
    <row r="48" spans="1:9">
      <c r="A48" s="160" t="s">
        <v>8</v>
      </c>
      <c r="B48" s="1771" t="s">
        <v>8</v>
      </c>
      <c r="C48" s="2172" t="s">
        <v>8</v>
      </c>
      <c r="D48" s="2174" t="s">
        <v>121</v>
      </c>
      <c r="E48" s="2173" t="s">
        <v>8</v>
      </c>
      <c r="F48" s="2174" t="s">
        <v>120</v>
      </c>
      <c r="G48" s="2176" t="s">
        <v>8</v>
      </c>
      <c r="H48" s="1772" t="s">
        <v>8</v>
      </c>
      <c r="I48" s="160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workbookViewId="0"/>
  </sheetViews>
  <sheetFormatPr defaultRowHeight="15"/>
  <cols>
    <col min="1" max="1" width="7.42578125" bestFit="1" customWidth="1"/>
    <col min="2" max="2" width="16.28515625" bestFit="1" customWidth="1"/>
    <col min="3" max="3" width="12" bestFit="1" customWidth="1"/>
    <col min="4" max="4" width="64.28515625" bestFit="1" customWidth="1"/>
    <col min="5" max="5" width="24.5703125" bestFit="1" customWidth="1"/>
    <col min="6" max="6" width="16.85546875" bestFit="1" customWidth="1"/>
    <col min="7" max="7" width="13.42578125" bestFit="1" customWidth="1"/>
    <col min="8" max="8" width="7.5703125" bestFit="1" customWidth="1"/>
    <col min="9" max="9" width="7.7109375" bestFit="1" customWidth="1"/>
  </cols>
  <sheetData>
    <row r="1" spans="1:9">
      <c r="A1" s="167" t="s">
        <v>0</v>
      </c>
      <c r="B1" s="167" t="s">
        <v>1</v>
      </c>
      <c r="C1" s="167" t="s">
        <v>2</v>
      </c>
      <c r="D1" s="167" t="s">
        <v>3</v>
      </c>
      <c r="E1" s="167" t="s">
        <v>4</v>
      </c>
      <c r="F1" s="167" t="s">
        <v>5</v>
      </c>
      <c r="G1" s="167" t="s">
        <v>6</v>
      </c>
      <c r="H1" s="167" t="s">
        <v>7</v>
      </c>
      <c r="I1" s="167" t="s">
        <v>196</v>
      </c>
    </row>
    <row r="2" spans="1:9">
      <c r="A2" s="165" t="s">
        <v>8</v>
      </c>
      <c r="B2" s="165" t="s">
        <v>8</v>
      </c>
      <c r="C2" s="165" t="s">
        <v>8</v>
      </c>
      <c r="D2" s="165" t="s">
        <v>8</v>
      </c>
      <c r="E2" s="165" t="s">
        <v>8</v>
      </c>
      <c r="F2" s="165" t="s">
        <v>8</v>
      </c>
      <c r="G2" s="165" t="s">
        <v>8</v>
      </c>
      <c r="H2" s="165" t="s">
        <v>8</v>
      </c>
      <c r="I2" s="165" t="s">
        <v>8</v>
      </c>
    </row>
    <row r="3" spans="1:9" ht="15.75" thickBot="1">
      <c r="A3" s="165" t="s">
        <v>8</v>
      </c>
      <c r="B3" s="165" t="s">
        <v>8</v>
      </c>
      <c r="C3" s="165" t="s">
        <v>8</v>
      </c>
      <c r="D3" s="165" t="s">
        <v>8</v>
      </c>
      <c r="E3" s="165" t="s">
        <v>8</v>
      </c>
      <c r="F3" s="165" t="s">
        <v>8</v>
      </c>
      <c r="G3" s="165" t="s">
        <v>8</v>
      </c>
      <c r="H3" s="165" t="s">
        <v>8</v>
      </c>
      <c r="I3" s="165" t="s">
        <v>8</v>
      </c>
    </row>
    <row r="4" spans="1:9" ht="16.5" thickTop="1" thickBot="1">
      <c r="A4" s="165" t="s">
        <v>8</v>
      </c>
      <c r="B4" s="165" t="s">
        <v>14</v>
      </c>
      <c r="C4" s="165" t="s">
        <v>8</v>
      </c>
      <c r="D4" s="1796" t="s">
        <v>15</v>
      </c>
      <c r="E4" s="165" t="s">
        <v>16</v>
      </c>
      <c r="F4" s="1796" t="s">
        <v>1091</v>
      </c>
      <c r="G4" s="165" t="s">
        <v>8</v>
      </c>
      <c r="H4" s="165" t="s">
        <v>8</v>
      </c>
      <c r="I4" s="165" t="s">
        <v>8</v>
      </c>
    </row>
    <row r="5" spans="1:9" ht="16.5" thickTop="1" thickBot="1">
      <c r="A5" s="165" t="s">
        <v>8</v>
      </c>
      <c r="B5" s="165" t="s">
        <v>8</v>
      </c>
      <c r="C5" s="165" t="s">
        <v>8</v>
      </c>
      <c r="D5" s="165" t="s">
        <v>8</v>
      </c>
      <c r="E5" s="165" t="s">
        <v>8</v>
      </c>
      <c r="F5" s="165" t="s">
        <v>8</v>
      </c>
      <c r="G5" s="165" t="s">
        <v>8</v>
      </c>
      <c r="H5" s="165" t="s">
        <v>8</v>
      </c>
      <c r="I5" s="165" t="s">
        <v>8</v>
      </c>
    </row>
    <row r="6" spans="1:9" ht="16.5" thickTop="1" thickBot="1">
      <c r="A6" s="165" t="s">
        <v>8</v>
      </c>
      <c r="B6" s="165" t="s">
        <v>18</v>
      </c>
      <c r="C6" s="165" t="s">
        <v>8</v>
      </c>
      <c r="D6" s="1796" t="s">
        <v>19</v>
      </c>
      <c r="E6" s="165" t="s">
        <v>20</v>
      </c>
      <c r="F6" s="1796" t="s">
        <v>1092</v>
      </c>
      <c r="G6" s="165" t="s">
        <v>8</v>
      </c>
      <c r="H6" s="165" t="s">
        <v>8</v>
      </c>
      <c r="I6" s="165" t="s">
        <v>8</v>
      </c>
    </row>
    <row r="7" spans="1:9" ht="16.5" thickTop="1" thickBot="1">
      <c r="A7" s="165" t="s">
        <v>8</v>
      </c>
      <c r="B7" s="165" t="s">
        <v>8</v>
      </c>
      <c r="C7" s="165" t="s">
        <v>8</v>
      </c>
      <c r="D7" s="165" t="s">
        <v>8</v>
      </c>
      <c r="E7" s="165" t="s">
        <v>8</v>
      </c>
      <c r="F7" s="165" t="s">
        <v>8</v>
      </c>
      <c r="G7" s="165" t="s">
        <v>8</v>
      </c>
      <c r="H7" s="165" t="s">
        <v>8</v>
      </c>
      <c r="I7" s="165" t="s">
        <v>8</v>
      </c>
    </row>
    <row r="8" spans="1:9" ht="16.5" thickTop="1" thickBot="1">
      <c r="A8" s="165" t="s">
        <v>8</v>
      </c>
      <c r="B8" s="165" t="s">
        <v>22</v>
      </c>
      <c r="C8" s="165" t="s">
        <v>8</v>
      </c>
      <c r="D8" s="1796" t="s">
        <v>11</v>
      </c>
      <c r="E8" s="165" t="s">
        <v>23</v>
      </c>
      <c r="F8" s="1796" t="s">
        <v>1093</v>
      </c>
      <c r="G8" s="165" t="s">
        <v>8</v>
      </c>
      <c r="H8" s="165" t="s">
        <v>8</v>
      </c>
      <c r="I8" s="165" t="s">
        <v>8</v>
      </c>
    </row>
    <row r="9" spans="1:9" ht="16.5" thickTop="1" thickBot="1">
      <c r="A9" s="165" t="s">
        <v>8</v>
      </c>
      <c r="B9" s="165" t="s">
        <v>8</v>
      </c>
      <c r="C9" s="165" t="s">
        <v>8</v>
      </c>
      <c r="D9" s="165" t="s">
        <v>8</v>
      </c>
      <c r="E9" s="165" t="s">
        <v>8</v>
      </c>
      <c r="F9" s="165" t="s">
        <v>8</v>
      </c>
      <c r="G9" s="165" t="s">
        <v>8</v>
      </c>
      <c r="H9" s="165" t="s">
        <v>8</v>
      </c>
      <c r="I9" s="165" t="s">
        <v>8</v>
      </c>
    </row>
    <row r="10" spans="1:9" ht="16.5" thickTop="1" thickBot="1">
      <c r="A10" s="165" t="s">
        <v>8</v>
      </c>
      <c r="B10" s="165" t="s">
        <v>25</v>
      </c>
      <c r="C10" s="165" t="s">
        <v>8</v>
      </c>
      <c r="D10" s="1796" t="s">
        <v>26</v>
      </c>
      <c r="E10" s="165" t="s">
        <v>8</v>
      </c>
      <c r="F10" s="165" t="s">
        <v>8</v>
      </c>
      <c r="G10" s="165" t="s">
        <v>8</v>
      </c>
      <c r="H10" s="165" t="s">
        <v>8</v>
      </c>
      <c r="I10" s="165" t="s">
        <v>8</v>
      </c>
    </row>
    <row r="11" spans="1:9" ht="16.5" thickTop="1" thickBot="1">
      <c r="A11" s="165" t="s">
        <v>8</v>
      </c>
      <c r="B11" s="165" t="s">
        <v>8</v>
      </c>
      <c r="C11" s="165" t="s">
        <v>8</v>
      </c>
      <c r="D11" s="165" t="s">
        <v>8</v>
      </c>
      <c r="E11" s="165" t="s">
        <v>8</v>
      </c>
      <c r="F11" s="165" t="s">
        <v>8</v>
      </c>
      <c r="G11" s="165" t="s">
        <v>8</v>
      </c>
      <c r="H11" s="165" t="s">
        <v>8</v>
      </c>
      <c r="I11" s="165" t="s">
        <v>8</v>
      </c>
    </row>
    <row r="12" spans="1:9" ht="16.5" thickTop="1" thickBot="1">
      <c r="A12" s="165" t="s">
        <v>8</v>
      </c>
      <c r="B12" s="1797" t="s">
        <v>8</v>
      </c>
      <c r="C12" s="1798" t="s">
        <v>8</v>
      </c>
      <c r="D12" s="1798" t="s">
        <v>8</v>
      </c>
      <c r="E12" s="1798" t="s">
        <v>8</v>
      </c>
      <c r="F12" s="1798" t="s">
        <v>8</v>
      </c>
      <c r="G12" s="1798" t="s">
        <v>8</v>
      </c>
      <c r="H12" s="1799" t="s">
        <v>8</v>
      </c>
      <c r="I12" s="165" t="s">
        <v>8</v>
      </c>
    </row>
    <row r="13" spans="1:9" ht="16.5" thickTop="1" thickBot="1">
      <c r="A13" s="165" t="s">
        <v>8</v>
      </c>
      <c r="B13" s="1800" t="s">
        <v>8</v>
      </c>
      <c r="C13" s="1795" t="s">
        <v>11</v>
      </c>
      <c r="D13" s="1801" t="s">
        <v>28</v>
      </c>
      <c r="E13" s="1810">
        <v>273426.43</v>
      </c>
      <c r="F13" s="1801" t="s">
        <v>8</v>
      </c>
      <c r="G13" s="1801" t="s">
        <v>8</v>
      </c>
      <c r="H13" s="1802" t="s">
        <v>8</v>
      </c>
      <c r="I13" s="165" t="s">
        <v>29</v>
      </c>
    </row>
    <row r="14" spans="1:9" ht="16.5" thickTop="1" thickBot="1">
      <c r="A14" s="165" t="s">
        <v>8</v>
      </c>
      <c r="B14" s="165" t="s">
        <v>8</v>
      </c>
      <c r="C14" s="165" t="s">
        <v>8</v>
      </c>
      <c r="D14" s="165" t="s">
        <v>8</v>
      </c>
      <c r="E14" s="165" t="s">
        <v>8</v>
      </c>
      <c r="F14" s="165" t="s">
        <v>8</v>
      </c>
      <c r="G14" s="165" t="s">
        <v>8</v>
      </c>
      <c r="H14" s="165" t="s">
        <v>8</v>
      </c>
      <c r="I14" s="165" t="s">
        <v>8</v>
      </c>
    </row>
    <row r="15" spans="1:9" ht="16.5" thickTop="1" thickBot="1">
      <c r="A15" s="165" t="s">
        <v>8</v>
      </c>
      <c r="B15" s="1796" t="s">
        <v>30</v>
      </c>
      <c r="C15" s="1795" t="s">
        <v>31</v>
      </c>
      <c r="D15" s="1795" t="s">
        <v>32</v>
      </c>
      <c r="E15" s="1795" t="s">
        <v>33</v>
      </c>
      <c r="F15" s="1795" t="s">
        <v>34</v>
      </c>
      <c r="G15" s="1795" t="s">
        <v>35</v>
      </c>
      <c r="H15" s="1795" t="s">
        <v>36</v>
      </c>
      <c r="I15" s="165" t="s">
        <v>8</v>
      </c>
    </row>
    <row r="16" spans="1:9" ht="16.5" thickTop="1" thickBot="1">
      <c r="A16" s="165" t="s">
        <v>8</v>
      </c>
      <c r="B16" s="165" t="s">
        <v>8</v>
      </c>
      <c r="C16" s="165" t="s">
        <v>8</v>
      </c>
      <c r="D16" s="165" t="s">
        <v>8</v>
      </c>
      <c r="E16" s="165" t="s">
        <v>8</v>
      </c>
      <c r="F16" s="165" t="s">
        <v>8</v>
      </c>
      <c r="G16" s="165" t="s">
        <v>8</v>
      </c>
      <c r="H16" s="165" t="s">
        <v>8</v>
      </c>
      <c r="I16" s="165" t="s">
        <v>8</v>
      </c>
    </row>
    <row r="17" spans="1:9" ht="15.75" thickTop="1">
      <c r="A17" s="165" t="s">
        <v>8</v>
      </c>
      <c r="B17" s="1812" t="s">
        <v>8</v>
      </c>
      <c r="C17" s="1812" t="s">
        <v>8</v>
      </c>
      <c r="D17" s="1817" t="s">
        <v>1083</v>
      </c>
      <c r="E17" s="1812" t="s">
        <v>8</v>
      </c>
      <c r="F17" s="1812" t="s">
        <v>8</v>
      </c>
      <c r="G17" s="1812" t="s">
        <v>8</v>
      </c>
      <c r="H17" s="1799" t="s">
        <v>8</v>
      </c>
      <c r="I17" s="165" t="s">
        <v>8</v>
      </c>
    </row>
    <row r="18" spans="1:9">
      <c r="A18" s="165" t="s">
        <v>8</v>
      </c>
      <c r="B18" s="1813" t="s">
        <v>8</v>
      </c>
      <c r="C18" s="1815" t="s">
        <v>8</v>
      </c>
      <c r="D18" s="1815" t="s">
        <v>8</v>
      </c>
      <c r="E18" s="1819" t="s">
        <v>8</v>
      </c>
      <c r="F18" s="1815" t="s">
        <v>8</v>
      </c>
      <c r="G18" s="1821" t="s">
        <v>8</v>
      </c>
      <c r="H18" s="1807" t="s">
        <v>8</v>
      </c>
      <c r="I18" s="165" t="s">
        <v>8</v>
      </c>
    </row>
    <row r="19" spans="1:9">
      <c r="A19" s="165" t="s">
        <v>8</v>
      </c>
      <c r="B19" s="1813" t="s">
        <v>8</v>
      </c>
      <c r="C19" s="1815" t="s">
        <v>8</v>
      </c>
      <c r="D19" s="1815" t="s">
        <v>8</v>
      </c>
      <c r="E19" s="1819" t="s">
        <v>8</v>
      </c>
      <c r="F19" s="1815" t="s">
        <v>8</v>
      </c>
      <c r="G19" s="1821" t="s">
        <v>8</v>
      </c>
      <c r="H19" s="1807" t="s">
        <v>8</v>
      </c>
      <c r="I19" s="165" t="s">
        <v>8</v>
      </c>
    </row>
    <row r="20" spans="1:9" ht="15.75" thickBot="1">
      <c r="A20" s="165" t="s">
        <v>8</v>
      </c>
      <c r="B20" s="1814" t="s">
        <v>8</v>
      </c>
      <c r="C20" s="1816" t="s">
        <v>8</v>
      </c>
      <c r="D20" s="1818" t="s">
        <v>51</v>
      </c>
      <c r="E20" s="1820">
        <f>SUM($E$18:$E$19)</f>
        <v>0</v>
      </c>
      <c r="F20" s="1816" t="s">
        <v>8</v>
      </c>
      <c r="G20" s="1822" t="s">
        <v>8</v>
      </c>
      <c r="H20" s="1802" t="s">
        <v>8</v>
      </c>
      <c r="I20" s="165" t="s">
        <v>8</v>
      </c>
    </row>
    <row r="21" spans="1:9" ht="15.75" thickTop="1">
      <c r="A21" s="165" t="s">
        <v>8</v>
      </c>
      <c r="B21" s="1804" t="s">
        <v>8</v>
      </c>
      <c r="C21" s="165" t="s">
        <v>8</v>
      </c>
      <c r="D21" s="165" t="s">
        <v>8</v>
      </c>
      <c r="E21" s="166" t="s">
        <v>8</v>
      </c>
      <c r="F21" s="165" t="s">
        <v>8</v>
      </c>
      <c r="G21" s="1803" t="s">
        <v>8</v>
      </c>
      <c r="H21" s="165" t="s">
        <v>8</v>
      </c>
      <c r="I21" s="165" t="s">
        <v>8</v>
      </c>
    </row>
    <row r="22" spans="1:9" ht="15.75" thickBot="1">
      <c r="A22" s="165" t="s">
        <v>8</v>
      </c>
      <c r="B22" s="1804" t="s">
        <v>8</v>
      </c>
      <c r="C22" s="165" t="s">
        <v>8</v>
      </c>
      <c r="D22" s="165" t="s">
        <v>8</v>
      </c>
      <c r="E22" s="166" t="s">
        <v>8</v>
      </c>
      <c r="F22" s="165" t="s">
        <v>8</v>
      </c>
      <c r="G22" s="1803" t="s">
        <v>8</v>
      </c>
      <c r="H22" s="165" t="s">
        <v>8</v>
      </c>
      <c r="I22" s="165" t="s">
        <v>8</v>
      </c>
    </row>
    <row r="23" spans="1:9" ht="15.75" thickTop="1">
      <c r="A23" s="165" t="s">
        <v>8</v>
      </c>
      <c r="B23" s="1826" t="s">
        <v>8</v>
      </c>
      <c r="C23" s="1812" t="s">
        <v>8</v>
      </c>
      <c r="D23" s="1817" t="s">
        <v>1084</v>
      </c>
      <c r="E23" s="1827" t="s">
        <v>8</v>
      </c>
      <c r="F23" s="1812" t="s">
        <v>8</v>
      </c>
      <c r="G23" s="1828" t="s">
        <v>8</v>
      </c>
      <c r="H23" s="1799" t="s">
        <v>8</v>
      </c>
      <c r="I23" s="165" t="s">
        <v>8</v>
      </c>
    </row>
    <row r="24" spans="1:9">
      <c r="A24" s="165" t="s">
        <v>8</v>
      </c>
      <c r="B24" s="1813" t="s">
        <v>8</v>
      </c>
      <c r="C24" s="1815" t="s">
        <v>8</v>
      </c>
      <c r="D24" s="1815" t="s">
        <v>8</v>
      </c>
      <c r="E24" s="1819" t="s">
        <v>8</v>
      </c>
      <c r="F24" s="1815" t="s">
        <v>8</v>
      </c>
      <c r="G24" s="1821" t="s">
        <v>8</v>
      </c>
      <c r="H24" s="1807" t="s">
        <v>8</v>
      </c>
      <c r="I24" s="165" t="s">
        <v>8</v>
      </c>
    </row>
    <row r="25" spans="1:9">
      <c r="A25" s="165" t="s">
        <v>8</v>
      </c>
      <c r="B25" s="1813" t="s">
        <v>8</v>
      </c>
      <c r="C25" s="1815" t="s">
        <v>8</v>
      </c>
      <c r="D25" s="1815" t="s">
        <v>8</v>
      </c>
      <c r="E25" s="1819" t="s">
        <v>8</v>
      </c>
      <c r="F25" s="1815" t="s">
        <v>8</v>
      </c>
      <c r="G25" s="1821" t="s">
        <v>8</v>
      </c>
      <c r="H25" s="1807" t="s">
        <v>8</v>
      </c>
      <c r="I25" s="165" t="s">
        <v>8</v>
      </c>
    </row>
    <row r="26" spans="1:9" ht="15.75" thickBot="1">
      <c r="A26" s="165" t="s">
        <v>8</v>
      </c>
      <c r="B26" s="1814" t="s">
        <v>8</v>
      </c>
      <c r="C26" s="1816" t="s">
        <v>8</v>
      </c>
      <c r="D26" s="1818" t="s">
        <v>51</v>
      </c>
      <c r="E26" s="1820">
        <f>SUM($E$24:$E$25)</f>
        <v>0</v>
      </c>
      <c r="F26" s="1816" t="s">
        <v>8</v>
      </c>
      <c r="G26" s="1822" t="s">
        <v>8</v>
      </c>
      <c r="H26" s="1802" t="s">
        <v>8</v>
      </c>
      <c r="I26" s="165" t="s">
        <v>8</v>
      </c>
    </row>
    <row r="27" spans="1:9" ht="15.75" thickTop="1">
      <c r="A27" s="165" t="s">
        <v>8</v>
      </c>
      <c r="B27" s="1804" t="s">
        <v>8</v>
      </c>
      <c r="C27" s="165" t="s">
        <v>8</v>
      </c>
      <c r="D27" s="165" t="s">
        <v>8</v>
      </c>
      <c r="E27" s="166" t="s">
        <v>8</v>
      </c>
      <c r="F27" s="165" t="s">
        <v>8</v>
      </c>
      <c r="G27" s="1803" t="s">
        <v>8</v>
      </c>
      <c r="H27" s="165" t="s">
        <v>8</v>
      </c>
      <c r="I27" s="165" t="s">
        <v>8</v>
      </c>
    </row>
    <row r="28" spans="1:9" ht="15.75" thickBot="1">
      <c r="A28" s="165" t="s">
        <v>8</v>
      </c>
      <c r="B28" s="1804" t="s">
        <v>8</v>
      </c>
      <c r="C28" s="165" t="s">
        <v>8</v>
      </c>
      <c r="D28" s="165" t="s">
        <v>8</v>
      </c>
      <c r="E28" s="166" t="s">
        <v>8</v>
      </c>
      <c r="F28" s="165" t="s">
        <v>8</v>
      </c>
      <c r="G28" s="1803" t="s">
        <v>8</v>
      </c>
      <c r="H28" s="165" t="s">
        <v>8</v>
      </c>
      <c r="I28" s="165" t="s">
        <v>8</v>
      </c>
    </row>
    <row r="29" spans="1:9" ht="15.75" thickTop="1">
      <c r="A29" s="165" t="s">
        <v>8</v>
      </c>
      <c r="B29" s="1826" t="s">
        <v>8</v>
      </c>
      <c r="C29" s="1812" t="s">
        <v>8</v>
      </c>
      <c r="D29" s="1817" t="s">
        <v>1085</v>
      </c>
      <c r="E29" s="1827" t="s">
        <v>8</v>
      </c>
      <c r="F29" s="1812" t="s">
        <v>8</v>
      </c>
      <c r="G29" s="1828" t="s">
        <v>8</v>
      </c>
      <c r="H29" s="1799" t="s">
        <v>8</v>
      </c>
      <c r="I29" s="165" t="s">
        <v>8</v>
      </c>
    </row>
    <row r="30" spans="1:9">
      <c r="A30" s="165" t="s">
        <v>8</v>
      </c>
      <c r="B30" s="1813">
        <v>1</v>
      </c>
      <c r="C30" s="1815" t="s">
        <v>27</v>
      </c>
      <c r="D30" s="1815" t="s">
        <v>1094</v>
      </c>
      <c r="E30" s="1819">
        <v>990.18</v>
      </c>
      <c r="F30" s="1815" t="s">
        <v>8</v>
      </c>
      <c r="G30" s="1821">
        <v>0</v>
      </c>
      <c r="H30" s="1807" t="s">
        <v>88</v>
      </c>
      <c r="I30" s="165" t="s">
        <v>8</v>
      </c>
    </row>
    <row r="31" spans="1:9">
      <c r="A31" s="165" t="s">
        <v>8</v>
      </c>
      <c r="B31" s="1813" t="s">
        <v>8</v>
      </c>
      <c r="C31" s="1815" t="s">
        <v>8</v>
      </c>
      <c r="D31" s="1815" t="s">
        <v>8</v>
      </c>
      <c r="E31" s="1819" t="s">
        <v>8</v>
      </c>
      <c r="F31" s="1815" t="s">
        <v>8</v>
      </c>
      <c r="G31" s="1821" t="s">
        <v>8</v>
      </c>
      <c r="H31" s="1807" t="s">
        <v>8</v>
      </c>
      <c r="I31" s="165" t="s">
        <v>8</v>
      </c>
    </row>
    <row r="32" spans="1:9" ht="15.75" thickBot="1">
      <c r="A32" s="165" t="s">
        <v>8</v>
      </c>
      <c r="B32" s="1814" t="s">
        <v>8</v>
      </c>
      <c r="C32" s="1816" t="s">
        <v>8</v>
      </c>
      <c r="D32" s="1818" t="s">
        <v>51</v>
      </c>
      <c r="E32" s="1820">
        <f>SUM($E$30:$E$31)</f>
        <v>990.18</v>
      </c>
      <c r="F32" s="1816" t="s">
        <v>8</v>
      </c>
      <c r="G32" s="1822" t="s">
        <v>8</v>
      </c>
      <c r="H32" s="1802" t="s">
        <v>8</v>
      </c>
      <c r="I32" s="165" t="s">
        <v>8</v>
      </c>
    </row>
    <row r="33" spans="1:9" ht="15.75" thickTop="1">
      <c r="A33" s="165" t="s">
        <v>8</v>
      </c>
      <c r="B33" s="1804" t="s">
        <v>8</v>
      </c>
      <c r="C33" s="165" t="s">
        <v>8</v>
      </c>
      <c r="D33" s="165" t="s">
        <v>8</v>
      </c>
      <c r="E33" s="166" t="s">
        <v>8</v>
      </c>
      <c r="F33" s="165" t="s">
        <v>8</v>
      </c>
      <c r="G33" s="1803" t="s">
        <v>8</v>
      </c>
      <c r="H33" s="165" t="s">
        <v>8</v>
      </c>
      <c r="I33" s="165" t="s">
        <v>8</v>
      </c>
    </row>
    <row r="34" spans="1:9" ht="15.75" thickBot="1">
      <c r="A34" s="165" t="s">
        <v>8</v>
      </c>
      <c r="B34" s="1804" t="s">
        <v>8</v>
      </c>
      <c r="C34" s="165" t="s">
        <v>8</v>
      </c>
      <c r="D34" s="165" t="s">
        <v>8</v>
      </c>
      <c r="E34" s="166" t="s">
        <v>8</v>
      </c>
      <c r="F34" s="165" t="s">
        <v>8</v>
      </c>
      <c r="G34" s="1803" t="s">
        <v>8</v>
      </c>
      <c r="H34" s="165" t="s">
        <v>8</v>
      </c>
      <c r="I34" s="165" t="s">
        <v>8</v>
      </c>
    </row>
    <row r="35" spans="1:9" ht="15.75" thickTop="1">
      <c r="A35" s="165" t="s">
        <v>8</v>
      </c>
      <c r="B35" s="1826" t="s">
        <v>8</v>
      </c>
      <c r="C35" s="1812" t="s">
        <v>8</v>
      </c>
      <c r="D35" s="1817" t="s">
        <v>1087</v>
      </c>
      <c r="E35" s="1827" t="s">
        <v>8</v>
      </c>
      <c r="F35" s="1812" t="s">
        <v>8</v>
      </c>
      <c r="G35" s="1828" t="s">
        <v>8</v>
      </c>
      <c r="H35" s="1799" t="s">
        <v>8</v>
      </c>
      <c r="I35" s="165" t="s">
        <v>8</v>
      </c>
    </row>
    <row r="36" spans="1:9">
      <c r="A36" s="165" t="s">
        <v>8</v>
      </c>
      <c r="B36" s="1813" t="s">
        <v>8</v>
      </c>
      <c r="C36" s="1815" t="s">
        <v>8</v>
      </c>
      <c r="D36" s="1815" t="s">
        <v>8</v>
      </c>
      <c r="E36" s="1819" t="s">
        <v>8</v>
      </c>
      <c r="F36" s="1815" t="s">
        <v>8</v>
      </c>
      <c r="G36" s="1821" t="s">
        <v>8</v>
      </c>
      <c r="H36" s="1807" t="s">
        <v>8</v>
      </c>
      <c r="I36" s="165" t="s">
        <v>8</v>
      </c>
    </row>
    <row r="37" spans="1:9">
      <c r="A37" s="165" t="s">
        <v>8</v>
      </c>
      <c r="B37" s="1813" t="s">
        <v>8</v>
      </c>
      <c r="C37" s="1815" t="s">
        <v>8</v>
      </c>
      <c r="D37" s="1815" t="s">
        <v>8</v>
      </c>
      <c r="E37" s="1819" t="s">
        <v>8</v>
      </c>
      <c r="F37" s="1815" t="s">
        <v>8</v>
      </c>
      <c r="G37" s="1821" t="s">
        <v>8</v>
      </c>
      <c r="H37" s="1807" t="s">
        <v>8</v>
      </c>
      <c r="I37" s="165" t="s">
        <v>8</v>
      </c>
    </row>
    <row r="38" spans="1:9" ht="15.75" thickBot="1">
      <c r="A38" s="165" t="s">
        <v>8</v>
      </c>
      <c r="B38" s="1814" t="s">
        <v>8</v>
      </c>
      <c r="C38" s="1816" t="s">
        <v>8</v>
      </c>
      <c r="D38" s="1818" t="s">
        <v>51</v>
      </c>
      <c r="E38" s="1820">
        <f>SUM($E$36:$E$37)</f>
        <v>0</v>
      </c>
      <c r="F38" s="1816" t="s">
        <v>8</v>
      </c>
      <c r="G38" s="1822" t="s">
        <v>8</v>
      </c>
      <c r="H38" s="1802" t="s">
        <v>8</v>
      </c>
      <c r="I38" s="165" t="s">
        <v>8</v>
      </c>
    </row>
    <row r="39" spans="1:9" ht="16.5" thickTop="1" thickBot="1">
      <c r="A39" s="165" t="s">
        <v>8</v>
      </c>
      <c r="B39" s="1804" t="s">
        <v>8</v>
      </c>
      <c r="C39" s="165" t="s">
        <v>8</v>
      </c>
      <c r="D39" s="165" t="s">
        <v>8</v>
      </c>
      <c r="E39" s="166" t="s">
        <v>8</v>
      </c>
      <c r="F39" s="165" t="s">
        <v>8</v>
      </c>
      <c r="G39" s="1803" t="s">
        <v>8</v>
      </c>
      <c r="H39" s="165" t="s">
        <v>8</v>
      </c>
      <c r="I39" s="165" t="s">
        <v>8</v>
      </c>
    </row>
    <row r="40" spans="1:9" ht="15.75" thickTop="1">
      <c r="A40" s="165" t="s">
        <v>8</v>
      </c>
      <c r="B40" s="1823" t="s">
        <v>8</v>
      </c>
      <c r="C40" s="1798" t="s">
        <v>8</v>
      </c>
      <c r="D40" s="1798" t="s">
        <v>8</v>
      </c>
      <c r="E40" s="1824" t="s">
        <v>8</v>
      </c>
      <c r="F40" s="1798" t="s">
        <v>8</v>
      </c>
      <c r="G40" s="1825" t="s">
        <v>8</v>
      </c>
      <c r="H40" s="1799" t="s">
        <v>8</v>
      </c>
      <c r="I40" s="165" t="s">
        <v>8</v>
      </c>
    </row>
    <row r="41" spans="1:9">
      <c r="A41" s="165" t="s">
        <v>8</v>
      </c>
      <c r="B41" s="1806" t="s">
        <v>8</v>
      </c>
      <c r="C41" s="2177" t="s">
        <v>8</v>
      </c>
      <c r="D41" s="1959" t="s">
        <v>114</v>
      </c>
      <c r="E41" s="1958">
        <f>ABS(E13+$E$20-$E$38+$E$26-$E$32)</f>
        <v>272436.25</v>
      </c>
      <c r="F41" s="2177" t="s">
        <v>8</v>
      </c>
      <c r="G41" s="2179" t="s">
        <v>8</v>
      </c>
      <c r="H41" s="1807" t="s">
        <v>8</v>
      </c>
      <c r="I41" s="165" t="s">
        <v>8</v>
      </c>
    </row>
    <row r="42" spans="1:9">
      <c r="A42" s="165" t="s">
        <v>8</v>
      </c>
      <c r="B42" s="1806" t="s">
        <v>8</v>
      </c>
      <c r="C42" s="2177" t="s">
        <v>8</v>
      </c>
      <c r="D42" s="1959" t="s">
        <v>115</v>
      </c>
      <c r="E42" s="1958">
        <v>272436.25</v>
      </c>
      <c r="F42" s="2177" t="s">
        <v>8</v>
      </c>
      <c r="G42" s="2179" t="s">
        <v>8</v>
      </c>
      <c r="H42" s="1807" t="s">
        <v>8</v>
      </c>
      <c r="I42" s="165" t="s">
        <v>116</v>
      </c>
    </row>
    <row r="43" spans="1:9" ht="15.75" thickBot="1">
      <c r="A43" s="165" t="s">
        <v>8</v>
      </c>
      <c r="B43" s="1808" t="s">
        <v>8</v>
      </c>
      <c r="C43" s="1801" t="s">
        <v>8</v>
      </c>
      <c r="D43" s="1809" t="s">
        <v>117</v>
      </c>
      <c r="E43" s="1810">
        <f>$E$42-$E$41</f>
        <v>0</v>
      </c>
      <c r="F43" s="1801" t="s">
        <v>8</v>
      </c>
      <c r="G43" s="1811" t="s">
        <v>8</v>
      </c>
      <c r="H43" s="1802" t="s">
        <v>8</v>
      </c>
      <c r="I43" s="165" t="s">
        <v>8</v>
      </c>
    </row>
    <row r="44" spans="1:9" ht="16.5" thickTop="1" thickBot="1">
      <c r="A44" s="165" t="s">
        <v>8</v>
      </c>
      <c r="B44" s="1804" t="s">
        <v>8</v>
      </c>
      <c r="C44" s="165" t="s">
        <v>8</v>
      </c>
      <c r="D44" s="165" t="s">
        <v>8</v>
      </c>
      <c r="E44" s="166" t="s">
        <v>8</v>
      </c>
      <c r="F44" s="165" t="s">
        <v>8</v>
      </c>
      <c r="G44" s="1803" t="s">
        <v>8</v>
      </c>
      <c r="H44" s="165" t="s">
        <v>8</v>
      </c>
      <c r="I44" s="165" t="s">
        <v>8</v>
      </c>
    </row>
    <row r="45" spans="1:9" ht="15.75" thickTop="1">
      <c r="A45" s="165" t="s">
        <v>8</v>
      </c>
      <c r="B45" s="1823" t="s">
        <v>8</v>
      </c>
      <c r="C45" s="1798" t="s">
        <v>8</v>
      </c>
      <c r="D45" s="1805" t="s">
        <v>118</v>
      </c>
      <c r="E45" s="1829" t="s">
        <v>119</v>
      </c>
      <c r="F45" s="1805" t="s">
        <v>120</v>
      </c>
      <c r="G45" s="1825">
        <v>45981</v>
      </c>
      <c r="H45" s="1799" t="s">
        <v>8</v>
      </c>
      <c r="I45" s="165" t="s">
        <v>8</v>
      </c>
    </row>
    <row r="46" spans="1:9">
      <c r="A46" s="165" t="s">
        <v>8</v>
      </c>
      <c r="B46" s="1806" t="s">
        <v>8</v>
      </c>
      <c r="C46" s="2177" t="s">
        <v>8</v>
      </c>
      <c r="D46" s="2177" t="s">
        <v>8</v>
      </c>
      <c r="E46" s="2178" t="s">
        <v>8</v>
      </c>
      <c r="F46" s="2177" t="s">
        <v>8</v>
      </c>
      <c r="G46" s="2179" t="s">
        <v>8</v>
      </c>
      <c r="H46" s="1807" t="s">
        <v>8</v>
      </c>
      <c r="I46" s="165" t="s">
        <v>8</v>
      </c>
    </row>
    <row r="47" spans="1:9">
      <c r="A47" s="165" t="s">
        <v>8</v>
      </c>
      <c r="B47" s="1806" t="s">
        <v>8</v>
      </c>
      <c r="C47" s="2177" t="s">
        <v>8</v>
      </c>
      <c r="D47" s="2177" t="s">
        <v>8</v>
      </c>
      <c r="E47" s="2178" t="s">
        <v>8</v>
      </c>
      <c r="F47" s="2177" t="s">
        <v>8</v>
      </c>
      <c r="G47" s="2179" t="s">
        <v>8</v>
      </c>
      <c r="H47" s="1807" t="s">
        <v>8</v>
      </c>
      <c r="I47" s="165" t="s">
        <v>8</v>
      </c>
    </row>
    <row r="48" spans="1:9">
      <c r="A48" s="165" t="s">
        <v>8</v>
      </c>
      <c r="B48" s="1806" t="s">
        <v>8</v>
      </c>
      <c r="C48" s="2177" t="s">
        <v>8</v>
      </c>
      <c r="D48" s="1959" t="s">
        <v>121</v>
      </c>
      <c r="E48" s="1958" t="s">
        <v>8</v>
      </c>
      <c r="F48" s="1959" t="s">
        <v>120</v>
      </c>
      <c r="G48" s="2179" t="s">
        <v>8</v>
      </c>
      <c r="H48" s="1807" t="s">
        <v>8</v>
      </c>
      <c r="I48" s="165" t="s">
        <v>8</v>
      </c>
    </row>
    <row r="49" spans="2:8">
      <c r="B49" s="180"/>
      <c r="C49" s="1919"/>
      <c r="D49" s="1919"/>
      <c r="E49" s="1919"/>
      <c r="F49" s="1919"/>
      <c r="G49" s="1919"/>
      <c r="H49" s="181"/>
    </row>
    <row r="50" spans="2:8" ht="15.75" thickBot="1">
      <c r="B50" s="182"/>
      <c r="C50" s="183"/>
      <c r="D50" s="183"/>
      <c r="E50" s="183"/>
      <c r="F50" s="183"/>
      <c r="G50" s="183"/>
      <c r="H50" s="184"/>
    </row>
    <row r="51" spans="2:8" ht="15.75" thickTop="1"/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workbookViewId="0"/>
  </sheetViews>
  <sheetFormatPr defaultRowHeight="14.25"/>
  <cols>
    <col min="1" max="2" width="25.7109375" customWidth="1"/>
    <col min="3" max="3" width="20.7109375" customWidth="1"/>
    <col min="4" max="7" width="30.7109375" customWidth="1"/>
  </cols>
  <sheetData>
    <row r="1" spans="1:7" ht="15">
      <c r="A1" s="1877" t="s">
        <v>0</v>
      </c>
      <c r="B1" s="1877" t="s">
        <v>1</v>
      </c>
      <c r="C1" s="1877" t="s">
        <v>2</v>
      </c>
      <c r="D1" s="1877" t="s">
        <v>3</v>
      </c>
      <c r="E1" s="1877" t="s">
        <v>4</v>
      </c>
      <c r="F1" s="1877" t="s">
        <v>5</v>
      </c>
      <c r="G1" s="1877" t="s">
        <v>6</v>
      </c>
    </row>
    <row r="2" spans="1:7" ht="15">
      <c r="A2" s="1876" t="s">
        <v>8</v>
      </c>
      <c r="B2" s="1876" t="s">
        <v>8</v>
      </c>
      <c r="C2" s="1876" t="s">
        <v>8</v>
      </c>
      <c r="D2" s="1876" t="s">
        <v>8</v>
      </c>
      <c r="E2" s="1876" t="s">
        <v>8</v>
      </c>
      <c r="F2" s="1876" t="s">
        <v>8</v>
      </c>
      <c r="G2" s="1876" t="s">
        <v>8</v>
      </c>
    </row>
    <row r="3" spans="1:7" ht="23.25">
      <c r="A3" s="1880" t="s">
        <v>9</v>
      </c>
      <c r="B3" s="1880"/>
      <c r="C3" s="1880"/>
      <c r="D3" s="1880"/>
      <c r="E3" s="1880"/>
      <c r="F3" s="1880"/>
      <c r="G3" s="1880"/>
    </row>
    <row r="4" spans="1:7" ht="21">
      <c r="A4" s="1881" t="s">
        <v>1101</v>
      </c>
      <c r="B4" s="1881"/>
      <c r="C4" s="1881"/>
      <c r="D4" s="1881"/>
      <c r="E4" s="1881"/>
      <c r="F4" s="1881"/>
      <c r="G4" s="1881"/>
    </row>
    <row r="5" spans="1:7" ht="15">
      <c r="A5" s="1904" t="s">
        <v>1102</v>
      </c>
      <c r="B5" s="1882" t="s">
        <v>1103</v>
      </c>
      <c r="C5" s="1876" t="s">
        <v>8</v>
      </c>
      <c r="D5" s="1876" t="s">
        <v>8</v>
      </c>
      <c r="E5" s="1876" t="s">
        <v>8</v>
      </c>
      <c r="F5" s="1876" t="s">
        <v>8</v>
      </c>
      <c r="G5" s="1876" t="s">
        <v>8</v>
      </c>
    </row>
    <row r="6" spans="1:7" ht="15.75" thickBot="1">
      <c r="A6" s="1876" t="s">
        <v>8</v>
      </c>
      <c r="B6" s="1876" t="s">
        <v>8</v>
      </c>
      <c r="C6" s="1876" t="s">
        <v>8</v>
      </c>
      <c r="D6" s="1876" t="s">
        <v>8</v>
      </c>
      <c r="E6" s="1876" t="s">
        <v>8</v>
      </c>
      <c r="F6" s="1876" t="s">
        <v>8</v>
      </c>
      <c r="G6" s="1876" t="s">
        <v>8</v>
      </c>
    </row>
    <row r="7" spans="1:7" ht="16.5" thickTop="1" thickBot="1">
      <c r="A7" s="1889" t="s">
        <v>1104</v>
      </c>
      <c r="B7" s="1889" t="s">
        <v>1105</v>
      </c>
      <c r="C7" s="1889" t="s">
        <v>1106</v>
      </c>
      <c r="D7" s="1889" t="s">
        <v>1107</v>
      </c>
      <c r="E7" s="1889" t="s">
        <v>1108</v>
      </c>
      <c r="F7" s="1889" t="s">
        <v>1109</v>
      </c>
      <c r="G7" s="1889" t="s">
        <v>1110</v>
      </c>
    </row>
    <row r="8" spans="1:7" ht="15.75" thickTop="1">
      <c r="A8" s="1890" t="s">
        <v>1111</v>
      </c>
      <c r="B8" s="1890" t="s">
        <v>21</v>
      </c>
      <c r="C8" s="1890" t="s">
        <v>1112</v>
      </c>
      <c r="D8" s="1887">
        <v>0</v>
      </c>
      <c r="E8" s="1887">
        <v>0</v>
      </c>
      <c r="F8" s="1887">
        <f t="shared" ref="F8:F39" si="0">IF(ISERROR(D8+E8),0,D8+E8)</f>
        <v>0</v>
      </c>
      <c r="G8" s="1885" t="s">
        <v>8</v>
      </c>
    </row>
    <row r="9" spans="1:7" ht="15">
      <c r="A9" s="1891" t="s">
        <v>1111</v>
      </c>
      <c r="B9" s="1891" t="s">
        <v>123</v>
      </c>
      <c r="C9" s="1891" t="s">
        <v>1113</v>
      </c>
      <c r="D9" s="1888">
        <v>0</v>
      </c>
      <c r="E9" s="1888">
        <v>0</v>
      </c>
      <c r="F9" s="1888">
        <f t="shared" si="0"/>
        <v>0</v>
      </c>
      <c r="G9" s="1886" t="s">
        <v>8</v>
      </c>
    </row>
    <row r="10" spans="1:7" ht="15">
      <c r="A10" s="1891" t="s">
        <v>1111</v>
      </c>
      <c r="B10" s="1891" t="s">
        <v>145</v>
      </c>
      <c r="C10" s="1891" t="s">
        <v>1114</v>
      </c>
      <c r="D10" s="1888">
        <v>0</v>
      </c>
      <c r="E10" s="1888">
        <v>0</v>
      </c>
      <c r="F10" s="1888">
        <f t="shared" si="0"/>
        <v>0</v>
      </c>
      <c r="G10" s="1886" t="s">
        <v>8</v>
      </c>
    </row>
    <row r="11" spans="1:7" ht="15">
      <c r="A11" s="1891" t="s">
        <v>1111</v>
      </c>
      <c r="B11" s="1891" t="s">
        <v>148</v>
      </c>
      <c r="C11" s="1891" t="s">
        <v>1115</v>
      </c>
      <c r="D11" s="1888">
        <v>0</v>
      </c>
      <c r="E11" s="1888">
        <v>0</v>
      </c>
      <c r="F11" s="1888">
        <f t="shared" si="0"/>
        <v>0</v>
      </c>
      <c r="G11" s="1886" t="s">
        <v>8</v>
      </c>
    </row>
    <row r="12" spans="1:7" ht="15">
      <c r="A12" s="1891" t="s">
        <v>1111</v>
      </c>
      <c r="B12" s="1891" t="s">
        <v>1116</v>
      </c>
      <c r="C12" s="1891" t="s">
        <v>1112</v>
      </c>
      <c r="D12" s="1888">
        <v>0</v>
      </c>
      <c r="E12" s="1888">
        <v>0</v>
      </c>
      <c r="F12" s="1888">
        <f t="shared" si="0"/>
        <v>0</v>
      </c>
      <c r="G12" s="1886" t="s">
        <v>8</v>
      </c>
    </row>
    <row r="13" spans="1:7" ht="15">
      <c r="A13" s="1892" t="s">
        <v>8</v>
      </c>
      <c r="B13" s="1892" t="s">
        <v>8</v>
      </c>
      <c r="C13" s="1892" t="s">
        <v>8</v>
      </c>
      <c r="D13" s="1893" t="s">
        <v>8</v>
      </c>
      <c r="E13" s="1893" t="s">
        <v>8</v>
      </c>
      <c r="F13" s="1893"/>
      <c r="G13" s="1894" t="s">
        <v>8</v>
      </c>
    </row>
    <row r="14" spans="1:7" ht="15">
      <c r="A14" s="1891" t="s">
        <v>1117</v>
      </c>
      <c r="B14" s="1891" t="s">
        <v>1118</v>
      </c>
      <c r="C14" s="1891" t="s">
        <v>1112</v>
      </c>
      <c r="D14" s="1888">
        <v>0</v>
      </c>
      <c r="E14" s="1888">
        <v>0</v>
      </c>
      <c r="F14" s="1888">
        <f t="shared" si="0"/>
        <v>0</v>
      </c>
      <c r="G14" s="1886" t="s">
        <v>8</v>
      </c>
    </row>
    <row r="15" spans="1:7" ht="15">
      <c r="A15" s="1891" t="s">
        <v>1117</v>
      </c>
      <c r="B15" s="1891" t="s">
        <v>1119</v>
      </c>
      <c r="C15" s="1891" t="s">
        <v>1113</v>
      </c>
      <c r="D15" s="1888">
        <v>0</v>
      </c>
      <c r="E15" s="1888">
        <v>0</v>
      </c>
      <c r="F15" s="1888">
        <f t="shared" si="0"/>
        <v>0</v>
      </c>
      <c r="G15" s="1886" t="s">
        <v>8</v>
      </c>
    </row>
    <row r="16" spans="1:7" ht="15">
      <c r="A16" s="1891" t="s">
        <v>1117</v>
      </c>
      <c r="B16" s="1891" t="s">
        <v>1120</v>
      </c>
      <c r="C16" s="1891" t="s">
        <v>1114</v>
      </c>
      <c r="D16" s="1888">
        <v>0</v>
      </c>
      <c r="E16" s="1888">
        <v>0</v>
      </c>
      <c r="F16" s="1888">
        <f t="shared" si="0"/>
        <v>0</v>
      </c>
      <c r="G16" s="1886" t="s">
        <v>8</v>
      </c>
    </row>
    <row r="17" spans="1:7" ht="15">
      <c r="A17" s="1892" t="s">
        <v>8</v>
      </c>
      <c r="B17" s="1892" t="s">
        <v>8</v>
      </c>
      <c r="C17" s="1892" t="s">
        <v>8</v>
      </c>
      <c r="D17" s="1893" t="s">
        <v>8</v>
      </c>
      <c r="E17" s="1893" t="s">
        <v>8</v>
      </c>
      <c r="F17" s="1893"/>
      <c r="G17" s="1894" t="s">
        <v>8</v>
      </c>
    </row>
    <row r="18" spans="1:7" ht="15">
      <c r="A18" s="1891" t="s">
        <v>1121</v>
      </c>
      <c r="B18" s="1891" t="s">
        <v>1122</v>
      </c>
      <c r="C18" s="1891" t="s">
        <v>1112</v>
      </c>
      <c r="D18" s="1888">
        <v>0</v>
      </c>
      <c r="E18" s="1888">
        <v>0</v>
      </c>
      <c r="F18" s="1888">
        <f t="shared" si="0"/>
        <v>0</v>
      </c>
      <c r="G18" s="1886" t="s">
        <v>8</v>
      </c>
    </row>
    <row r="19" spans="1:7" ht="15">
      <c r="A19" s="1891" t="s">
        <v>1121</v>
      </c>
      <c r="B19" s="1891" t="s">
        <v>1123</v>
      </c>
      <c r="C19" s="1891" t="s">
        <v>1113</v>
      </c>
      <c r="D19" s="1888">
        <v>0</v>
      </c>
      <c r="E19" s="1888">
        <v>0</v>
      </c>
      <c r="F19" s="1888">
        <f t="shared" si="0"/>
        <v>0</v>
      </c>
      <c r="G19" s="1886" t="s">
        <v>8</v>
      </c>
    </row>
    <row r="20" spans="1:7" ht="15">
      <c r="A20" s="1892" t="s">
        <v>8</v>
      </c>
      <c r="B20" s="1892" t="s">
        <v>8</v>
      </c>
      <c r="C20" s="1892" t="s">
        <v>8</v>
      </c>
      <c r="D20" s="1893" t="s">
        <v>8</v>
      </c>
      <c r="E20" s="1893" t="s">
        <v>8</v>
      </c>
      <c r="F20" s="1893"/>
      <c r="G20" s="1894" t="s">
        <v>8</v>
      </c>
    </row>
    <row r="21" spans="1:7" ht="15">
      <c r="A21" s="1891" t="s">
        <v>1124</v>
      </c>
      <c r="B21" s="1891" t="s">
        <v>1125</v>
      </c>
      <c r="C21" s="1891" t="s">
        <v>1112</v>
      </c>
      <c r="D21" s="1888">
        <v>0</v>
      </c>
      <c r="E21" s="1888">
        <v>0</v>
      </c>
      <c r="F21" s="1888">
        <f t="shared" si="0"/>
        <v>0</v>
      </c>
      <c r="G21" s="1886" t="s">
        <v>8</v>
      </c>
    </row>
    <row r="22" spans="1:7" ht="15">
      <c r="A22" s="1891" t="s">
        <v>1124</v>
      </c>
      <c r="B22" s="1891" t="s">
        <v>1126</v>
      </c>
      <c r="C22" s="1891" t="s">
        <v>1113</v>
      </c>
      <c r="D22" s="1888">
        <v>0</v>
      </c>
      <c r="E22" s="1888">
        <v>0</v>
      </c>
      <c r="F22" s="1888">
        <f t="shared" si="0"/>
        <v>0</v>
      </c>
      <c r="G22" s="1886" t="s">
        <v>8</v>
      </c>
    </row>
    <row r="23" spans="1:7" ht="15">
      <c r="A23" s="1891" t="s">
        <v>1124</v>
      </c>
      <c r="B23" s="1891" t="s">
        <v>1127</v>
      </c>
      <c r="C23" s="1891" t="s">
        <v>1114</v>
      </c>
      <c r="D23" s="1888">
        <v>0</v>
      </c>
      <c r="E23" s="1888">
        <v>0</v>
      </c>
      <c r="F23" s="1888">
        <f t="shared" si="0"/>
        <v>0</v>
      </c>
      <c r="G23" s="1886" t="s">
        <v>8</v>
      </c>
    </row>
    <row r="24" spans="1:7" ht="15">
      <c r="A24" s="1891" t="s">
        <v>1124</v>
      </c>
      <c r="B24" s="1891" t="s">
        <v>1128</v>
      </c>
      <c r="C24" s="1891" t="s">
        <v>1115</v>
      </c>
      <c r="D24" s="1888">
        <v>0</v>
      </c>
      <c r="E24" s="1888">
        <v>0</v>
      </c>
      <c r="F24" s="1888">
        <f t="shared" si="0"/>
        <v>0</v>
      </c>
      <c r="G24" s="1886" t="s">
        <v>8</v>
      </c>
    </row>
    <row r="25" spans="1:7" ht="15">
      <c r="A25" s="1892" t="s">
        <v>8</v>
      </c>
      <c r="B25" s="1892" t="s">
        <v>8</v>
      </c>
      <c r="C25" s="1892" t="s">
        <v>8</v>
      </c>
      <c r="D25" s="1893" t="s">
        <v>8</v>
      </c>
      <c r="E25" s="1893" t="s">
        <v>8</v>
      </c>
      <c r="F25" s="1893"/>
      <c r="G25" s="1894" t="s">
        <v>8</v>
      </c>
    </row>
    <row r="26" spans="1:7" ht="15">
      <c r="A26" s="1891" t="s">
        <v>1129</v>
      </c>
      <c r="B26" s="1891" t="s">
        <v>1130</v>
      </c>
      <c r="C26" s="1891" t="s">
        <v>1112</v>
      </c>
      <c r="D26" s="1888">
        <v>0</v>
      </c>
      <c r="E26" s="1888">
        <v>0</v>
      </c>
      <c r="F26" s="1888">
        <f t="shared" si="0"/>
        <v>0</v>
      </c>
      <c r="G26" s="1886" t="s">
        <v>8</v>
      </c>
    </row>
    <row r="27" spans="1:7" ht="15">
      <c r="A27" s="1891" t="s">
        <v>1129</v>
      </c>
      <c r="B27" s="1891" t="s">
        <v>1131</v>
      </c>
      <c r="C27" s="1891" t="s">
        <v>1113</v>
      </c>
      <c r="D27" s="1888">
        <v>0</v>
      </c>
      <c r="E27" s="1888">
        <v>0</v>
      </c>
      <c r="F27" s="1888">
        <f t="shared" si="0"/>
        <v>0</v>
      </c>
      <c r="G27" s="1886" t="s">
        <v>8</v>
      </c>
    </row>
    <row r="28" spans="1:7" ht="15">
      <c r="A28" s="1891" t="s">
        <v>1129</v>
      </c>
      <c r="B28" s="1891" t="s">
        <v>1132</v>
      </c>
      <c r="C28" s="1891" t="s">
        <v>1114</v>
      </c>
      <c r="D28" s="1888">
        <v>0</v>
      </c>
      <c r="E28" s="1888">
        <v>0</v>
      </c>
      <c r="F28" s="1888">
        <f t="shared" si="0"/>
        <v>0</v>
      </c>
      <c r="G28" s="1886" t="s">
        <v>8</v>
      </c>
    </row>
    <row r="29" spans="1:7" ht="15">
      <c r="A29" s="1891" t="s">
        <v>1129</v>
      </c>
      <c r="B29" s="1891" t="s">
        <v>1133</v>
      </c>
      <c r="C29" s="1891" t="s">
        <v>1115</v>
      </c>
      <c r="D29" s="1888">
        <v>0</v>
      </c>
      <c r="E29" s="1888">
        <v>0</v>
      </c>
      <c r="F29" s="1888">
        <f t="shared" si="0"/>
        <v>0</v>
      </c>
      <c r="G29" s="1886" t="s">
        <v>8</v>
      </c>
    </row>
    <row r="30" spans="1:7" ht="15">
      <c r="A30" s="1892" t="s">
        <v>8</v>
      </c>
      <c r="B30" s="1892" t="s">
        <v>8</v>
      </c>
      <c r="C30" s="1892" t="s">
        <v>8</v>
      </c>
      <c r="D30" s="1893" t="s">
        <v>8</v>
      </c>
      <c r="E30" s="1893" t="s">
        <v>8</v>
      </c>
      <c r="F30" s="1893"/>
      <c r="G30" s="1894" t="s">
        <v>8</v>
      </c>
    </row>
    <row r="31" spans="1:7" ht="15">
      <c r="A31" s="1891" t="s">
        <v>1134</v>
      </c>
      <c r="B31" s="1891" t="s">
        <v>1135</v>
      </c>
      <c r="C31" s="1891" t="s">
        <v>1113</v>
      </c>
      <c r="D31" s="1888">
        <v>0</v>
      </c>
      <c r="E31" s="1888">
        <v>0</v>
      </c>
      <c r="F31" s="1888">
        <f t="shared" si="0"/>
        <v>0</v>
      </c>
      <c r="G31" s="1886" t="s">
        <v>8</v>
      </c>
    </row>
    <row r="32" spans="1:7" ht="15">
      <c r="A32" s="1891" t="s">
        <v>1134</v>
      </c>
      <c r="B32" s="1891" t="s">
        <v>1136</v>
      </c>
      <c r="C32" s="1891" t="s">
        <v>1114</v>
      </c>
      <c r="D32" s="1888">
        <v>0</v>
      </c>
      <c r="E32" s="1888">
        <v>0</v>
      </c>
      <c r="F32" s="1888">
        <f t="shared" si="0"/>
        <v>0</v>
      </c>
      <c r="G32" s="1886" t="s">
        <v>8</v>
      </c>
    </row>
    <row r="33" spans="1:7" ht="15">
      <c r="A33" s="1891" t="s">
        <v>1134</v>
      </c>
      <c r="B33" s="1891" t="s">
        <v>1137</v>
      </c>
      <c r="C33" s="1891" t="s">
        <v>1115</v>
      </c>
      <c r="D33" s="1888">
        <v>0</v>
      </c>
      <c r="E33" s="1888">
        <v>0</v>
      </c>
      <c r="F33" s="1888">
        <f t="shared" si="0"/>
        <v>0</v>
      </c>
      <c r="G33" s="1886" t="s">
        <v>8</v>
      </c>
    </row>
    <row r="34" spans="1:7" ht="15">
      <c r="A34" s="1892" t="s">
        <v>8</v>
      </c>
      <c r="B34" s="1892" t="s">
        <v>8</v>
      </c>
      <c r="C34" s="1892" t="s">
        <v>8</v>
      </c>
      <c r="D34" s="1893" t="s">
        <v>8</v>
      </c>
      <c r="E34" s="1893" t="s">
        <v>8</v>
      </c>
      <c r="F34" s="1893"/>
      <c r="G34" s="1894" t="s">
        <v>8</v>
      </c>
    </row>
    <row r="35" spans="1:7" ht="15">
      <c r="A35" s="1891" t="s">
        <v>1138</v>
      </c>
      <c r="B35" s="1891" t="s">
        <v>1139</v>
      </c>
      <c r="C35" s="1891" t="s">
        <v>1114</v>
      </c>
      <c r="D35" s="1888">
        <v>0</v>
      </c>
      <c r="E35" s="1888">
        <v>0</v>
      </c>
      <c r="F35" s="1888">
        <f t="shared" si="0"/>
        <v>0</v>
      </c>
      <c r="G35" s="1886" t="s">
        <v>8</v>
      </c>
    </row>
    <row r="36" spans="1:7" ht="15">
      <c r="A36" s="1892" t="s">
        <v>8</v>
      </c>
      <c r="B36" s="1892" t="s">
        <v>8</v>
      </c>
      <c r="C36" s="1892" t="s">
        <v>8</v>
      </c>
      <c r="D36" s="1893" t="s">
        <v>8</v>
      </c>
      <c r="E36" s="1893" t="s">
        <v>8</v>
      </c>
      <c r="F36" s="1893"/>
      <c r="G36" s="1894" t="s">
        <v>8</v>
      </c>
    </row>
    <row r="37" spans="1:7" ht="15">
      <c r="A37" s="1891" t="s">
        <v>1140</v>
      </c>
      <c r="B37" s="1891" t="s">
        <v>1141</v>
      </c>
      <c r="C37" s="1891" t="s">
        <v>1113</v>
      </c>
      <c r="D37" s="1888">
        <v>0</v>
      </c>
      <c r="E37" s="1888">
        <v>0</v>
      </c>
      <c r="F37" s="1888">
        <f t="shared" si="0"/>
        <v>0</v>
      </c>
      <c r="G37" s="1886" t="s">
        <v>8</v>
      </c>
    </row>
    <row r="38" spans="1:7" ht="15">
      <c r="A38" s="1891" t="s">
        <v>1140</v>
      </c>
      <c r="B38" s="1891" t="s">
        <v>1142</v>
      </c>
      <c r="C38" s="1891" t="s">
        <v>1114</v>
      </c>
      <c r="D38" s="1888">
        <v>0</v>
      </c>
      <c r="E38" s="1888">
        <v>0</v>
      </c>
      <c r="F38" s="1888">
        <f t="shared" si="0"/>
        <v>0</v>
      </c>
      <c r="G38" s="1886" t="s">
        <v>8</v>
      </c>
    </row>
    <row r="39" spans="1:7" ht="15">
      <c r="A39" s="1891" t="s">
        <v>1140</v>
      </c>
      <c r="B39" s="1891" t="s">
        <v>1143</v>
      </c>
      <c r="C39" s="1891" t="s">
        <v>1115</v>
      </c>
      <c r="D39" s="1888">
        <v>0</v>
      </c>
      <c r="E39" s="1888">
        <v>0</v>
      </c>
      <c r="F39" s="1888">
        <f t="shared" si="0"/>
        <v>0</v>
      </c>
      <c r="G39" s="1886" t="s">
        <v>8</v>
      </c>
    </row>
    <row r="40" spans="1:7" ht="15">
      <c r="A40" s="1892" t="s">
        <v>8</v>
      </c>
      <c r="B40" s="1892" t="s">
        <v>8</v>
      </c>
      <c r="C40" s="1892" t="s">
        <v>8</v>
      </c>
      <c r="D40" s="1893" t="s">
        <v>8</v>
      </c>
      <c r="E40" s="1893" t="s">
        <v>8</v>
      </c>
      <c r="F40" s="1893"/>
      <c r="G40" s="1894" t="s">
        <v>8</v>
      </c>
    </row>
    <row r="41" spans="1:7" ht="15">
      <c r="A41" s="1891" t="s">
        <v>1144</v>
      </c>
      <c r="B41" s="1891" t="s">
        <v>233</v>
      </c>
      <c r="C41" s="1891" t="s">
        <v>1113</v>
      </c>
      <c r="D41" s="1888">
        <v>0</v>
      </c>
      <c r="E41" s="1888">
        <v>0</v>
      </c>
      <c r="F41" s="1888">
        <f t="shared" ref="F40:F71" si="1">IF(ISERROR(D41+E41),0,D41+E41)</f>
        <v>0</v>
      </c>
      <c r="G41" s="1886" t="s">
        <v>8</v>
      </c>
    </row>
    <row r="42" spans="1:7" ht="15">
      <c r="A42" s="1891" t="s">
        <v>1144</v>
      </c>
      <c r="B42" s="1891" t="s">
        <v>224</v>
      </c>
      <c r="C42" s="1891" t="s">
        <v>1114</v>
      </c>
      <c r="D42" s="1888">
        <v>0</v>
      </c>
      <c r="E42" s="1888">
        <v>0</v>
      </c>
      <c r="F42" s="1888">
        <f t="shared" si="1"/>
        <v>0</v>
      </c>
      <c r="G42" s="1886" t="s">
        <v>8</v>
      </c>
    </row>
    <row r="43" spans="1:7" ht="15">
      <c r="A43" s="1891" t="s">
        <v>1144</v>
      </c>
      <c r="B43" s="1891" t="s">
        <v>231</v>
      </c>
      <c r="C43" s="1891" t="s">
        <v>1115</v>
      </c>
      <c r="D43" s="1888">
        <v>0</v>
      </c>
      <c r="E43" s="1888">
        <v>0</v>
      </c>
      <c r="F43" s="1888">
        <f t="shared" si="1"/>
        <v>0</v>
      </c>
      <c r="G43" s="1886" t="s">
        <v>8</v>
      </c>
    </row>
    <row r="44" spans="1:7" ht="15">
      <c r="A44" s="1892" t="s">
        <v>8</v>
      </c>
      <c r="B44" s="1892" t="s">
        <v>8</v>
      </c>
      <c r="C44" s="1892" t="s">
        <v>8</v>
      </c>
      <c r="D44" s="1893" t="s">
        <v>8</v>
      </c>
      <c r="E44" s="1893" t="s">
        <v>8</v>
      </c>
      <c r="F44" s="1893"/>
      <c r="G44" s="1894" t="s">
        <v>8</v>
      </c>
    </row>
    <row r="45" spans="1:7" ht="15">
      <c r="A45" s="1891" t="s">
        <v>1145</v>
      </c>
      <c r="B45" s="1891" t="s">
        <v>206</v>
      </c>
      <c r="C45" s="1891" t="s">
        <v>1113</v>
      </c>
      <c r="D45" s="1888">
        <v>0</v>
      </c>
      <c r="E45" s="1888">
        <v>0</v>
      </c>
      <c r="F45" s="1888">
        <f t="shared" si="1"/>
        <v>0</v>
      </c>
      <c r="G45" s="1886" t="s">
        <v>8</v>
      </c>
    </row>
    <row r="46" spans="1:7" ht="15">
      <c r="A46" s="1891" t="s">
        <v>1145</v>
      </c>
      <c r="B46" s="1891" t="s">
        <v>198</v>
      </c>
      <c r="C46" s="1891" t="s">
        <v>1114</v>
      </c>
      <c r="D46" s="1888">
        <v>0</v>
      </c>
      <c r="E46" s="1888">
        <v>0</v>
      </c>
      <c r="F46" s="1888">
        <f t="shared" si="1"/>
        <v>0</v>
      </c>
      <c r="G46" s="1886" t="s">
        <v>8</v>
      </c>
    </row>
    <row r="47" spans="1:7" ht="15">
      <c r="A47" s="1891" t="s">
        <v>1145</v>
      </c>
      <c r="B47" s="1891" t="s">
        <v>204</v>
      </c>
      <c r="C47" s="1891" t="s">
        <v>1115</v>
      </c>
      <c r="D47" s="1888">
        <v>0</v>
      </c>
      <c r="E47" s="1888">
        <v>0</v>
      </c>
      <c r="F47" s="1888">
        <f t="shared" si="1"/>
        <v>0</v>
      </c>
      <c r="G47" s="1886" t="s">
        <v>8</v>
      </c>
    </row>
    <row r="48" spans="1:7" ht="15">
      <c r="A48" s="1892" t="s">
        <v>8</v>
      </c>
      <c r="B48" s="1892" t="s">
        <v>8</v>
      </c>
      <c r="C48" s="1892" t="s">
        <v>8</v>
      </c>
      <c r="D48" s="1893" t="s">
        <v>8</v>
      </c>
      <c r="E48" s="1893" t="s">
        <v>8</v>
      </c>
      <c r="F48" s="1893"/>
      <c r="G48" s="1894" t="s">
        <v>8</v>
      </c>
    </row>
    <row r="49" spans="1:7" ht="15">
      <c r="A49" s="1891" t="s">
        <v>1146</v>
      </c>
      <c r="B49" s="1891" t="s">
        <v>1147</v>
      </c>
      <c r="C49" s="1891" t="s">
        <v>1113</v>
      </c>
      <c r="D49" s="1888">
        <v>0</v>
      </c>
      <c r="E49" s="1888">
        <v>0</v>
      </c>
      <c r="F49" s="1888">
        <f t="shared" si="1"/>
        <v>0</v>
      </c>
      <c r="G49" s="1886" t="s">
        <v>8</v>
      </c>
    </row>
    <row r="50" spans="1:7" ht="15">
      <c r="A50" s="1891" t="s">
        <v>1146</v>
      </c>
      <c r="B50" s="1891" t="s">
        <v>1148</v>
      </c>
      <c r="C50" s="1891" t="s">
        <v>1114</v>
      </c>
      <c r="D50" s="1888">
        <v>0</v>
      </c>
      <c r="E50" s="1888">
        <v>0</v>
      </c>
      <c r="F50" s="1888">
        <f t="shared" si="1"/>
        <v>0</v>
      </c>
      <c r="G50" s="1886" t="s">
        <v>8</v>
      </c>
    </row>
    <row r="51" spans="1:7" ht="15">
      <c r="A51" s="1891" t="s">
        <v>1146</v>
      </c>
      <c r="B51" s="1891" t="s">
        <v>1149</v>
      </c>
      <c r="C51" s="1891" t="s">
        <v>1115</v>
      </c>
      <c r="D51" s="1888">
        <v>0</v>
      </c>
      <c r="E51" s="1888">
        <v>0</v>
      </c>
      <c r="F51" s="1888">
        <f t="shared" si="1"/>
        <v>0</v>
      </c>
      <c r="G51" s="1886" t="s">
        <v>8</v>
      </c>
    </row>
    <row r="52" spans="1:7" ht="15">
      <c r="A52" s="1892" t="s">
        <v>8</v>
      </c>
      <c r="B52" s="1892" t="s">
        <v>8</v>
      </c>
      <c r="C52" s="1892" t="s">
        <v>8</v>
      </c>
      <c r="D52" s="1893" t="s">
        <v>8</v>
      </c>
      <c r="E52" s="1893" t="s">
        <v>8</v>
      </c>
      <c r="F52" s="1893"/>
      <c r="G52" s="1894" t="s">
        <v>8</v>
      </c>
    </row>
    <row r="53" spans="1:7" ht="15">
      <c r="A53" s="1891" t="s">
        <v>1150</v>
      </c>
      <c r="B53" s="1891" t="s">
        <v>1151</v>
      </c>
      <c r="C53" s="1891" t="s">
        <v>1112</v>
      </c>
      <c r="D53" s="1888">
        <v>0</v>
      </c>
      <c r="E53" s="1888">
        <v>0</v>
      </c>
      <c r="F53" s="1888">
        <f t="shared" si="1"/>
        <v>0</v>
      </c>
      <c r="G53" s="1886" t="s">
        <v>8</v>
      </c>
    </row>
    <row r="54" spans="1:7" ht="15">
      <c r="A54" s="1891" t="s">
        <v>1150</v>
      </c>
      <c r="B54" s="1891" t="s">
        <v>1152</v>
      </c>
      <c r="C54" s="1891" t="s">
        <v>1113</v>
      </c>
      <c r="D54" s="1888">
        <v>0</v>
      </c>
      <c r="E54" s="1888">
        <v>0</v>
      </c>
      <c r="F54" s="1888">
        <f t="shared" si="1"/>
        <v>0</v>
      </c>
      <c r="G54" s="1886" t="s">
        <v>8</v>
      </c>
    </row>
    <row r="55" spans="1:7" ht="15">
      <c r="A55" s="1891" t="s">
        <v>1150</v>
      </c>
      <c r="B55" s="1891" t="s">
        <v>1153</v>
      </c>
      <c r="C55" s="1891" t="s">
        <v>1112</v>
      </c>
      <c r="D55" s="1888">
        <v>0</v>
      </c>
      <c r="E55" s="1888">
        <v>0</v>
      </c>
      <c r="F55" s="1888">
        <f t="shared" si="1"/>
        <v>0</v>
      </c>
      <c r="G55" s="1886" t="s">
        <v>8</v>
      </c>
    </row>
    <row r="56" spans="1:7" ht="15">
      <c r="A56" s="1892" t="s">
        <v>8</v>
      </c>
      <c r="B56" s="1892" t="s">
        <v>8</v>
      </c>
      <c r="C56" s="1892" t="s">
        <v>8</v>
      </c>
      <c r="D56" s="1893" t="s">
        <v>8</v>
      </c>
      <c r="E56" s="1893" t="s">
        <v>8</v>
      </c>
      <c r="F56" s="1893"/>
      <c r="G56" s="1894" t="s">
        <v>8</v>
      </c>
    </row>
    <row r="57" spans="1:7" ht="15">
      <c r="A57" s="1891" t="s">
        <v>1154</v>
      </c>
      <c r="B57" s="1891" t="s">
        <v>268</v>
      </c>
      <c r="C57" s="1891" t="s">
        <v>1112</v>
      </c>
      <c r="D57" s="1888">
        <v>0</v>
      </c>
      <c r="E57" s="1888">
        <v>0</v>
      </c>
      <c r="F57" s="1888">
        <f t="shared" si="1"/>
        <v>0</v>
      </c>
      <c r="G57" s="1886" t="s">
        <v>8</v>
      </c>
    </row>
    <row r="58" spans="1:7" ht="15">
      <c r="A58" s="1892" t="s">
        <v>8</v>
      </c>
      <c r="B58" s="1892" t="s">
        <v>8</v>
      </c>
      <c r="C58" s="1892" t="s">
        <v>8</v>
      </c>
      <c r="D58" s="1893" t="s">
        <v>8</v>
      </c>
      <c r="E58" s="1893" t="s">
        <v>8</v>
      </c>
      <c r="F58" s="1893"/>
      <c r="G58" s="1894" t="s">
        <v>8</v>
      </c>
    </row>
    <row r="59" spans="1:7" ht="15">
      <c r="A59" s="1891" t="s">
        <v>275</v>
      </c>
      <c r="B59" s="1891" t="s">
        <v>275</v>
      </c>
      <c r="C59" s="1891" t="s">
        <v>1112</v>
      </c>
      <c r="D59" s="1888">
        <v>0</v>
      </c>
      <c r="E59" s="1888">
        <v>0</v>
      </c>
      <c r="F59" s="1888">
        <f t="shared" si="1"/>
        <v>0</v>
      </c>
      <c r="G59" s="1886" t="s">
        <v>8</v>
      </c>
    </row>
    <row r="60" spans="1:7" ht="15">
      <c r="A60" s="1891" t="s">
        <v>1155</v>
      </c>
      <c r="B60" s="1891" t="s">
        <v>275</v>
      </c>
      <c r="C60" s="1891" t="s">
        <v>1112</v>
      </c>
      <c r="D60" s="1888">
        <v>0</v>
      </c>
      <c r="E60" s="1888">
        <v>0</v>
      </c>
      <c r="F60" s="1888">
        <f t="shared" si="1"/>
        <v>0</v>
      </c>
      <c r="G60" s="1886" t="s">
        <v>8</v>
      </c>
    </row>
    <row r="61" spans="1:7" ht="15">
      <c r="A61" s="1892" t="s">
        <v>8</v>
      </c>
      <c r="B61" s="1892" t="s">
        <v>8</v>
      </c>
      <c r="C61" s="1892" t="s">
        <v>8</v>
      </c>
      <c r="D61" s="1893" t="s">
        <v>8</v>
      </c>
      <c r="E61" s="1893" t="s">
        <v>8</v>
      </c>
      <c r="F61" s="1893"/>
      <c r="G61" s="1894" t="s">
        <v>8</v>
      </c>
    </row>
    <row r="62" spans="1:7" ht="15">
      <c r="A62" s="1891" t="s">
        <v>1156</v>
      </c>
      <c r="B62" s="1891" t="s">
        <v>1157</v>
      </c>
      <c r="C62" s="1891" t="s">
        <v>1113</v>
      </c>
      <c r="D62" s="1888">
        <v>0</v>
      </c>
      <c r="E62" s="1888">
        <v>0</v>
      </c>
      <c r="F62" s="1888">
        <f t="shared" si="1"/>
        <v>0</v>
      </c>
      <c r="G62" s="1886" t="s">
        <v>8</v>
      </c>
    </row>
    <row r="63" spans="1:7" ht="15">
      <c r="A63" s="1891" t="s">
        <v>1156</v>
      </c>
      <c r="B63" s="1891" t="s">
        <v>1158</v>
      </c>
      <c r="C63" s="1891" t="s">
        <v>1114</v>
      </c>
      <c r="D63" s="1888">
        <v>0</v>
      </c>
      <c r="E63" s="1888">
        <v>0</v>
      </c>
      <c r="F63" s="1888">
        <f t="shared" si="1"/>
        <v>0</v>
      </c>
      <c r="G63" s="1886" t="s">
        <v>8</v>
      </c>
    </row>
    <row r="64" spans="1:7" ht="15">
      <c r="A64" s="1891" t="s">
        <v>1159</v>
      </c>
      <c r="B64" s="1891" t="s">
        <v>1160</v>
      </c>
      <c r="C64" s="1891" t="s">
        <v>1161</v>
      </c>
      <c r="D64" s="1888">
        <v>0</v>
      </c>
      <c r="E64" s="1888">
        <v>0</v>
      </c>
      <c r="F64" s="1888">
        <f t="shared" si="1"/>
        <v>0</v>
      </c>
      <c r="G64" s="1886" t="s">
        <v>8</v>
      </c>
    </row>
    <row r="65" spans="1:7" ht="15">
      <c r="A65" s="1891" t="s">
        <v>1162</v>
      </c>
      <c r="B65" s="1891" t="s">
        <v>1163</v>
      </c>
      <c r="C65" s="1891" t="s">
        <v>1161</v>
      </c>
      <c r="D65" s="1888">
        <v>0</v>
      </c>
      <c r="E65" s="1888">
        <v>0</v>
      </c>
      <c r="F65" s="1888">
        <f t="shared" si="1"/>
        <v>0</v>
      </c>
      <c r="G65" s="1886" t="s">
        <v>8</v>
      </c>
    </row>
    <row r="66" spans="1:7" ht="15">
      <c r="A66" s="1891" t="s">
        <v>1164</v>
      </c>
      <c r="B66" s="1891" t="s">
        <v>1165</v>
      </c>
      <c r="C66" s="1891" t="s">
        <v>1161</v>
      </c>
      <c r="D66" s="1888">
        <v>0</v>
      </c>
      <c r="E66" s="1888">
        <v>0</v>
      </c>
      <c r="F66" s="1888">
        <f t="shared" si="1"/>
        <v>0</v>
      </c>
      <c r="G66" s="1886" t="s">
        <v>8</v>
      </c>
    </row>
    <row r="67" spans="1:7" ht="15">
      <c r="A67" s="1891" t="s">
        <v>1166</v>
      </c>
      <c r="B67" s="1891" t="s">
        <v>1167</v>
      </c>
      <c r="C67" s="1891" t="s">
        <v>1161</v>
      </c>
      <c r="D67" s="1888">
        <v>0</v>
      </c>
      <c r="E67" s="1888">
        <v>0</v>
      </c>
      <c r="F67" s="1888">
        <f t="shared" si="1"/>
        <v>0</v>
      </c>
      <c r="G67" s="1886" t="s">
        <v>8</v>
      </c>
    </row>
    <row r="68" spans="1:7" ht="15">
      <c r="A68" s="1891" t="s">
        <v>1168</v>
      </c>
      <c r="B68" s="1891" t="s">
        <v>1169</v>
      </c>
      <c r="C68" s="1891" t="s">
        <v>1161</v>
      </c>
      <c r="D68" s="1888">
        <v>0</v>
      </c>
      <c r="E68" s="1888">
        <v>0</v>
      </c>
      <c r="F68" s="1888">
        <f t="shared" si="1"/>
        <v>0</v>
      </c>
      <c r="G68" s="1886" t="s">
        <v>8</v>
      </c>
    </row>
    <row r="69" spans="1:7" ht="15">
      <c r="A69" s="1891" t="s">
        <v>1170</v>
      </c>
      <c r="B69" s="1891" t="s">
        <v>1171</v>
      </c>
      <c r="C69" s="1891" t="s">
        <v>1113</v>
      </c>
      <c r="D69" s="1888">
        <v>0</v>
      </c>
      <c r="E69" s="1888">
        <v>0</v>
      </c>
      <c r="F69" s="1888">
        <f t="shared" si="1"/>
        <v>0</v>
      </c>
      <c r="G69" s="1886" t="s">
        <v>8</v>
      </c>
    </row>
    <row r="70" spans="1:7" ht="15">
      <c r="A70" s="1891" t="s">
        <v>1170</v>
      </c>
      <c r="B70" s="1891" t="s">
        <v>1172</v>
      </c>
      <c r="C70" s="1891" t="s">
        <v>1114</v>
      </c>
      <c r="D70" s="1888">
        <v>0</v>
      </c>
      <c r="E70" s="1888">
        <v>0</v>
      </c>
      <c r="F70" s="1888">
        <f t="shared" si="1"/>
        <v>0</v>
      </c>
      <c r="G70" s="1886" t="s">
        <v>8</v>
      </c>
    </row>
    <row r="71" spans="1:7" ht="15.75" thickBot="1">
      <c r="A71" s="1921" t="s">
        <v>1173</v>
      </c>
      <c r="B71" s="1921" t="s">
        <v>1174</v>
      </c>
      <c r="C71" s="1921" t="s">
        <v>1161</v>
      </c>
      <c r="D71" s="1922">
        <v>0</v>
      </c>
      <c r="E71" s="1922">
        <v>0</v>
      </c>
      <c r="F71" s="1922">
        <f t="shared" si="1"/>
        <v>0</v>
      </c>
      <c r="G71" s="1923" t="s">
        <v>8</v>
      </c>
    </row>
    <row r="72" spans="1:7" ht="15.75" thickTop="1">
      <c r="A72" s="1883" t="s">
        <v>8</v>
      </c>
      <c r="B72" s="1883" t="s">
        <v>8</v>
      </c>
      <c r="C72" s="1883" t="s">
        <v>8</v>
      </c>
      <c r="D72" s="1884" t="s">
        <v>8</v>
      </c>
      <c r="E72" s="1884" t="s">
        <v>8</v>
      </c>
      <c r="F72" s="1884"/>
      <c r="G72" s="1885" t="s">
        <v>8</v>
      </c>
    </row>
    <row r="73" spans="1:7" ht="15.75" thickBot="1">
      <c r="A73" s="1895" t="s">
        <v>8</v>
      </c>
      <c r="B73" s="1895" t="s">
        <v>8</v>
      </c>
      <c r="C73" s="1882" t="s">
        <v>1175</v>
      </c>
      <c r="D73" s="1896">
        <f>IF(ISERROR(SUM(D8:D71)),0,SUM(D8:D71))</f>
        <v>0</v>
      </c>
      <c r="E73" s="1896">
        <f>IF(ISERROR(SUM(E8:E71)),0,SUM(E8:E71))</f>
        <v>0</v>
      </c>
      <c r="F73" s="1896">
        <f t="shared" ref="F72:F103" si="2">IF(ISERROR(D73+E73),0,D73+E73)</f>
        <v>0</v>
      </c>
      <c r="G73" s="1924" t="s">
        <v>8</v>
      </c>
    </row>
    <row r="74" spans="1:7" ht="15.75" thickTop="1">
      <c r="A74" s="1883" t="s">
        <v>8</v>
      </c>
      <c r="B74" s="1883" t="s">
        <v>8</v>
      </c>
      <c r="C74" s="1883" t="s">
        <v>8</v>
      </c>
      <c r="D74" s="1883" t="s">
        <v>8</v>
      </c>
      <c r="E74" s="1883" t="s">
        <v>8</v>
      </c>
      <c r="F74" s="1883" t="s">
        <v>8</v>
      </c>
      <c r="G74" s="1883" t="s">
        <v>8</v>
      </c>
    </row>
    <row r="75" spans="1:7" ht="15">
      <c r="A75" s="1876" t="s">
        <v>8</v>
      </c>
      <c r="B75" s="1876" t="s">
        <v>8</v>
      </c>
      <c r="C75" s="1876" t="s">
        <v>8</v>
      </c>
      <c r="D75" s="1876" t="s">
        <v>8</v>
      </c>
      <c r="E75" s="1876" t="s">
        <v>8</v>
      </c>
      <c r="F75" s="1876" t="s">
        <v>8</v>
      </c>
      <c r="G75" s="1876" t="s">
        <v>8</v>
      </c>
    </row>
    <row r="76" spans="1:7" ht="18.75">
      <c r="A76" s="1897" t="s">
        <v>1176</v>
      </c>
      <c r="B76" s="1897"/>
      <c r="C76" s="1897"/>
      <c r="D76" s="1897"/>
      <c r="E76" s="1897"/>
      <c r="F76" s="1897"/>
      <c r="G76" s="1897"/>
    </row>
    <row r="77" spans="1:7" ht="15.75" thickBot="1">
      <c r="A77" s="1934" t="s">
        <v>8</v>
      </c>
      <c r="B77" s="1934" t="s">
        <v>8</v>
      </c>
      <c r="C77" s="1934" t="s">
        <v>8</v>
      </c>
      <c r="D77" s="1934" t="s">
        <v>8</v>
      </c>
      <c r="E77" s="1934" t="s">
        <v>8</v>
      </c>
      <c r="F77" s="1934" t="s">
        <v>8</v>
      </c>
      <c r="G77" s="1934" t="s">
        <v>8</v>
      </c>
    </row>
    <row r="78" spans="1:7" ht="16.5" thickTop="1" thickBot="1">
      <c r="A78" s="1925" t="s">
        <v>1104</v>
      </c>
      <c r="B78" s="1925" t="s">
        <v>1177</v>
      </c>
      <c r="C78" s="1926" t="s">
        <v>8</v>
      </c>
      <c r="D78" s="1925" t="s">
        <v>1178</v>
      </c>
      <c r="E78" s="1925" t="s">
        <v>1179</v>
      </c>
      <c r="F78" s="1925" t="s">
        <v>1109</v>
      </c>
      <c r="G78" s="1925" t="s">
        <v>1180</v>
      </c>
    </row>
    <row r="79" spans="1:7" ht="15.75" thickTop="1">
      <c r="A79" s="1927" t="s">
        <v>1181</v>
      </c>
      <c r="B79" s="1927" t="s">
        <v>1112</v>
      </c>
      <c r="C79" s="1901" t="s">
        <v>8</v>
      </c>
      <c r="D79" s="1928">
        <v>0</v>
      </c>
      <c r="E79" s="1928">
        <v>0</v>
      </c>
      <c r="F79" s="1928">
        <f t="shared" ref="F79:F85" si="3">IF(ISERROR(D79+E79),0,D79+E79)</f>
        <v>0</v>
      </c>
      <c r="G79" s="1929">
        <f>IFERROR(F79*VLOOKUP($B79,'BOG DAILY RATES'!$A:$C,3,FALSE),0)</f>
        <v>0</v>
      </c>
    </row>
    <row r="80" spans="1:7" ht="15">
      <c r="A80" s="1899" t="s">
        <v>1182</v>
      </c>
      <c r="B80" s="1899" t="s">
        <v>1113</v>
      </c>
      <c r="C80" s="1902" t="s">
        <v>8</v>
      </c>
      <c r="D80" s="1900">
        <v>0</v>
      </c>
      <c r="E80" s="1900">
        <v>0</v>
      </c>
      <c r="F80" s="1900">
        <f t="shared" si="3"/>
        <v>0</v>
      </c>
      <c r="G80" s="1903">
        <f>IFERROR(F80*VLOOKUP($B80,'BOG DAILY RATES'!$A:$C,3,FALSE),0)</f>
        <v>0</v>
      </c>
    </row>
    <row r="81" spans="1:7" ht="15">
      <c r="A81" s="1899" t="s">
        <v>1183</v>
      </c>
      <c r="B81" s="1899" t="s">
        <v>1114</v>
      </c>
      <c r="C81" s="1902" t="s">
        <v>8</v>
      </c>
      <c r="D81" s="1900">
        <v>0</v>
      </c>
      <c r="E81" s="1900">
        <v>0</v>
      </c>
      <c r="F81" s="1900">
        <f t="shared" si="3"/>
        <v>0</v>
      </c>
      <c r="G81" s="1903">
        <f>IFERROR(F81*VLOOKUP($B81,'BOG DAILY RATES'!$A:$C,3,FALSE),0)</f>
        <v>0</v>
      </c>
    </row>
    <row r="82" spans="1:7" ht="15">
      <c r="A82" s="1899" t="s">
        <v>1184</v>
      </c>
      <c r="B82" s="1899" t="s">
        <v>1115</v>
      </c>
      <c r="C82" s="1902" t="s">
        <v>8</v>
      </c>
      <c r="D82" s="1900">
        <v>0</v>
      </c>
      <c r="E82" s="1900">
        <v>0</v>
      </c>
      <c r="F82" s="1900">
        <f t="shared" si="3"/>
        <v>0</v>
      </c>
      <c r="G82" s="1903">
        <f>IFERROR(F82*VLOOKUP($B82,'BOG DAILY RATES'!$A:$C,3,FALSE),0)</f>
        <v>0</v>
      </c>
    </row>
    <row r="83" spans="1:7" ht="15.75" thickBot="1">
      <c r="A83" s="1937" t="s">
        <v>1185</v>
      </c>
      <c r="B83" s="1937" t="s">
        <v>1161</v>
      </c>
      <c r="C83" s="1938" t="s">
        <v>8</v>
      </c>
      <c r="D83" s="1939">
        <v>0</v>
      </c>
      <c r="E83" s="1939">
        <v>0</v>
      </c>
      <c r="F83" s="1939">
        <f t="shared" si="3"/>
        <v>0</v>
      </c>
      <c r="G83" s="1903">
        <f>IFERROR(F83*VLOOKUP($B83,'BOG DAILY RATES'!$A:$C,3,FALSE),0)</f>
        <v>0</v>
      </c>
    </row>
    <row r="84" spans="1:7" ht="15.75" thickTop="1">
      <c r="A84" s="1930" t="s">
        <v>8</v>
      </c>
      <c r="B84" s="1930" t="s">
        <v>8</v>
      </c>
      <c r="C84" s="1930" t="s">
        <v>8</v>
      </c>
      <c r="D84" s="1931" t="s">
        <v>8</v>
      </c>
      <c r="E84" s="1931" t="s">
        <v>8</v>
      </c>
      <c r="F84" s="1931"/>
      <c r="G84" s="1932" t="s">
        <v>8</v>
      </c>
    </row>
    <row r="85" spans="1:7" ht="15.75" thickBot="1">
      <c r="A85" s="1935" t="s">
        <v>8</v>
      </c>
      <c r="B85" s="1935" t="s">
        <v>8</v>
      </c>
      <c r="C85" s="1940" t="s">
        <v>1175</v>
      </c>
      <c r="D85" s="1936">
        <f>IF(ISERROR(SUM(D79:D83)),0,SUM(D79:D83))</f>
        <v>0</v>
      </c>
      <c r="E85" s="1936">
        <f>IF(ISERROR(SUM(E79:E83)),0,SUM(E79:E83))</f>
        <v>0</v>
      </c>
      <c r="F85" s="1936">
        <f t="shared" si="3"/>
        <v>0</v>
      </c>
      <c r="G85" s="1941">
        <f>IF(ISERROR(SUM(G79:G83)),0,SUM(G79:G83))</f>
        <v>0</v>
      </c>
    </row>
    <row r="86" spans="1:7" ht="15.75" thickTop="1">
      <c r="A86" s="1933"/>
      <c r="B86" s="1933"/>
      <c r="C86" s="1933"/>
      <c r="D86" s="1933"/>
      <c r="E86" s="1933"/>
      <c r="F86" s="1933"/>
      <c r="G86" s="1933"/>
    </row>
    <row r="87" spans="1:7" ht="15"/>
  </sheetData>
  <mergeCells count="3">
    <mergeCell ref="A3:G3"/>
    <mergeCell ref="A4:G4"/>
    <mergeCell ref="A76:G7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/>
  </sheetViews>
  <sheetFormatPr defaultRowHeight="14.25"/>
  <cols>
    <col min="1" max="2" width="25.7109375" customWidth="1"/>
    <col min="3" max="3" width="20.7109375" customWidth="1"/>
    <col min="4" max="4" width="30.7109375" customWidth="1"/>
  </cols>
  <sheetData>
    <row r="1" spans="1:3" ht="15">
      <c r="A1" s="1879" t="s">
        <v>0</v>
      </c>
      <c r="B1" s="1879" t="s">
        <v>1</v>
      </c>
      <c r="C1" s="1879" t="s">
        <v>2</v>
      </c>
    </row>
    <row r="2" spans="1:3" ht="15.75" thickBot="1">
      <c r="A2" s="1878" t="s">
        <v>8</v>
      </c>
      <c r="B2" s="1878" t="s">
        <v>8</v>
      </c>
      <c r="C2" s="1878" t="s">
        <v>8</v>
      </c>
    </row>
    <row r="3" spans="1:3" ht="17.25" thickTop="1" thickBot="1">
      <c r="A3" s="1905" t="s">
        <v>1186</v>
      </c>
      <c r="B3" s="1905" t="s">
        <v>1187</v>
      </c>
      <c r="C3" s="1905" t="s">
        <v>1188</v>
      </c>
    </row>
    <row r="4" spans="1:3" ht="15.75" thickTop="1">
      <c r="A4" s="1908" t="s">
        <v>1112</v>
      </c>
      <c r="B4" s="1909">
        <v>1</v>
      </c>
      <c r="C4" s="1909">
        <v>1</v>
      </c>
    </row>
    <row r="5" spans="1:3" ht="15">
      <c r="A5" s="1907" t="s">
        <v>1113</v>
      </c>
      <c r="B5" s="1906" t="s">
        <v>8</v>
      </c>
      <c r="C5" s="1906">
        <f t="shared" ref="C5:C7" si="0">IF(ISERROR(B5),0,SUM(B5))</f>
        <v>0</v>
      </c>
    </row>
    <row r="6" spans="1:3" ht="15">
      <c r="A6" s="1910" t="s">
        <v>1114</v>
      </c>
      <c r="B6" s="1911" t="s">
        <v>8</v>
      </c>
      <c r="C6" s="1911">
        <f t="shared" si="0"/>
        <v>0</v>
      </c>
    </row>
    <row r="7" spans="1:3" ht="15">
      <c r="A7" s="1907" t="s">
        <v>1115</v>
      </c>
      <c r="B7" s="1906" t="s">
        <v>8</v>
      </c>
      <c r="C7" s="1906">
        <f t="shared" si="0"/>
        <v>0</v>
      </c>
    </row>
    <row r="8" spans="1:3" ht="15.75" thickBot="1">
      <c r="A8" s="1912" t="s">
        <v>1161</v>
      </c>
      <c r="B8" s="1913" t="s">
        <v>8</v>
      </c>
      <c r="C8" s="1913">
        <f>IF(ISERROR(1/B8),0,SUM(1/B8))</f>
        <v>0</v>
      </c>
    </row>
    <row r="9" spans="1:3" ht="15.75" thickTop="1">
      <c r="A9" s="1898"/>
      <c r="B9" s="1898"/>
      <c r="C9" s="1898"/>
    </row>
    <row r="10" spans="1:3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COVER PAGE</vt:lpstr>
      <vt:lpstr>BOG GHS</vt:lpstr>
      <vt:lpstr>BOG USD</vt:lpstr>
      <vt:lpstr>BOG EUR</vt:lpstr>
      <vt:lpstr>BOG GBP</vt:lpstr>
      <vt:lpstr>BOG PAPSS GHS</vt:lpstr>
      <vt:lpstr>BOG KSI GHS</vt:lpstr>
      <vt:lpstr>BOG KSI USD</vt:lpstr>
      <vt:lpstr>BOG KSI EUR</vt:lpstr>
      <vt:lpstr>BOG KSI GBP</vt:lpstr>
      <vt:lpstr>BOG SYI GHS</vt:lpstr>
      <vt:lpstr>BOG SYI USD</vt:lpstr>
      <vt:lpstr>BOG SYI EUR</vt:lpstr>
      <vt:lpstr>BOG SYI GBP</vt:lpstr>
      <vt:lpstr>BOG TDI GHS</vt:lpstr>
      <vt:lpstr>BOG TDI USD</vt:lpstr>
      <vt:lpstr>BOG TDI EUR</vt:lpstr>
      <vt:lpstr>BOG TDI GBP</vt:lpstr>
      <vt:lpstr>BOG TLE GHS</vt:lpstr>
      <vt:lpstr>BOG TLE USD</vt:lpstr>
      <vt:lpstr>BOG TLE EUR</vt:lpstr>
      <vt:lpstr>BOG TLE GBP</vt:lpstr>
      <vt:lpstr>AFRIEXIM EUR</vt:lpstr>
      <vt:lpstr>AFRIEXIM GBP</vt:lpstr>
      <vt:lpstr>AFRIEXIM USD</vt:lpstr>
      <vt:lpstr>AFRIEXIM USD PAPSS</vt:lpstr>
      <vt:lpstr>AKTIF EUR</vt:lpstr>
      <vt:lpstr>AKTIF GBP</vt:lpstr>
      <vt:lpstr>AKTIF USD</vt:lpstr>
      <vt:lpstr>ARAB TURKISH EUR</vt:lpstr>
      <vt:lpstr>ARAB TURKISH USD</vt:lpstr>
      <vt:lpstr>BANK OF BEIRUT EUR</vt:lpstr>
      <vt:lpstr>BANK OF BEIRUT GBP</vt:lpstr>
      <vt:lpstr>BANK OF BEIRUT USD</vt:lpstr>
      <vt:lpstr>COTE DVOIRE XOF</vt:lpstr>
      <vt:lpstr>ECOBANK</vt:lpstr>
      <vt:lpstr>GCB</vt:lpstr>
      <vt:lpstr>GCB 2 &amp; 3</vt:lpstr>
      <vt:lpstr>GHIB EUR</vt:lpstr>
      <vt:lpstr>GHIB GBP</vt:lpstr>
      <vt:lpstr>GHIB USD</vt:lpstr>
      <vt:lpstr>HEAD OFFICE USD</vt:lpstr>
      <vt:lpstr>SENEGAL XOF</vt:lpstr>
      <vt:lpstr>TOGO XOF</vt:lpstr>
      <vt:lpstr>UBA NY EUR</vt:lpstr>
      <vt:lpstr>UBA NY GBP</vt:lpstr>
      <vt:lpstr>UBA NY USD</vt:lpstr>
      <vt:lpstr>ZENITH CEDI</vt:lpstr>
      <vt:lpstr>ZENITH OPS</vt:lpstr>
      <vt:lpstr>ZENITH USD</vt:lpstr>
      <vt:lpstr>SUMMARY CHECK</vt:lpstr>
      <vt:lpstr>BOG DAILY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Ebenezer Frimpong</cp:lastModifiedBy>
  <dcterms:modified xsi:type="dcterms:W3CDTF">2025-11-27T14:07:55Z</dcterms:modified>
</cp:coreProperties>
</file>